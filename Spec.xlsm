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App\Production\Extruder3\Application\"/>
    </mc:Choice>
  </mc:AlternateContent>
  <xr:revisionPtr revIDLastSave="0" documentId="8_{8A8EE90A-2A0E-430B-8416-FC762ACE03DB}" xr6:coauthVersionLast="47" xr6:coauthVersionMax="47" xr10:uidLastSave="{00000000-0000-0000-0000-000000000000}"/>
  <bookViews>
    <workbookView xWindow="-120" yWindow="-120" windowWidth="29040" windowHeight="15720" activeTab="1" xr2:uid="{366749B0-65B7-434C-9240-49B4797D5873}"/>
  </bookViews>
  <sheets>
    <sheet name="DATA" sheetId="1" r:id="rId1"/>
    <sheet name="Spec" sheetId="4" r:id="rId2"/>
  </sheets>
  <externalReferences>
    <externalReference r:id="rId3"/>
  </externalReferences>
  <definedNames>
    <definedName name="_xlnm._FilterDatabase" localSheetId="0" hidden="1">DATA!$A$1:$AS$1</definedName>
    <definedName name="contour">INDEX(DATA!#REF!,MATCH('[1]Extruder No 3 (xe)'!$AS$16:$AT$16,DATA!$A$3:$A$162,0))</definedName>
    <definedName name="ExternalData_1" localSheetId="1" hidden="1">Spec!$B$2:$W$143</definedName>
    <definedName name="_xlnm.Print_Area" localSheetId="0">DATA!$A$1:$AR$159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Q4" i="1" l="1"/>
  <c r="AR4" i="1" s="1"/>
  <c r="AQ5" i="1"/>
  <c r="AR5" i="1" s="1"/>
  <c r="AQ6" i="1"/>
  <c r="AR6" i="1" s="1"/>
  <c r="AQ7" i="1"/>
  <c r="AR7" i="1" s="1"/>
  <c r="AQ8" i="1"/>
  <c r="AR8" i="1" s="1"/>
  <c r="AQ9" i="1"/>
  <c r="AR9" i="1" s="1"/>
  <c r="AQ10" i="1"/>
  <c r="AR10" i="1" s="1"/>
  <c r="AQ11" i="1"/>
  <c r="AR11" i="1" s="1"/>
  <c r="AQ12" i="1"/>
  <c r="AR12" i="1" s="1"/>
  <c r="AQ13" i="1"/>
  <c r="AR13" i="1" s="1"/>
  <c r="AQ14" i="1"/>
  <c r="AR14" i="1" s="1"/>
  <c r="AQ15" i="1"/>
  <c r="AR15" i="1" s="1"/>
  <c r="AQ16" i="1"/>
  <c r="AR16" i="1" s="1"/>
  <c r="AQ17" i="1"/>
  <c r="AR17" i="1" s="1"/>
  <c r="AQ18" i="1"/>
  <c r="AR18" i="1" s="1"/>
  <c r="AQ19" i="1"/>
  <c r="AR19" i="1" s="1"/>
  <c r="AQ20" i="1"/>
  <c r="AR20" i="1" s="1"/>
  <c r="AQ21" i="1"/>
  <c r="AR21" i="1" s="1"/>
  <c r="AQ22" i="1"/>
  <c r="AR22" i="1" s="1"/>
  <c r="AQ23" i="1"/>
  <c r="AR23" i="1" s="1"/>
  <c r="AQ24" i="1"/>
  <c r="AR24" i="1" s="1"/>
  <c r="AQ25" i="1"/>
  <c r="AR25" i="1" s="1"/>
  <c r="AQ26" i="1"/>
  <c r="AR26" i="1" s="1"/>
  <c r="AQ27" i="1"/>
  <c r="AR27" i="1" s="1"/>
  <c r="AQ28" i="1"/>
  <c r="AR28" i="1" s="1"/>
  <c r="AQ29" i="1"/>
  <c r="AR29" i="1" s="1"/>
  <c r="AQ30" i="1"/>
  <c r="AR30" i="1" s="1"/>
  <c r="AQ31" i="1"/>
  <c r="AR31" i="1" s="1"/>
  <c r="AQ32" i="1"/>
  <c r="AR32" i="1" s="1"/>
  <c r="AQ33" i="1"/>
  <c r="AR33" i="1" s="1"/>
  <c r="AQ34" i="1"/>
  <c r="AR34" i="1" s="1"/>
  <c r="AQ35" i="1"/>
  <c r="AR35" i="1" s="1"/>
  <c r="AQ36" i="1"/>
  <c r="AR36" i="1" s="1"/>
  <c r="AQ37" i="1"/>
  <c r="AR37" i="1" s="1"/>
  <c r="AQ38" i="1"/>
  <c r="AR38" i="1" s="1"/>
  <c r="AQ39" i="1"/>
  <c r="AR39" i="1" s="1"/>
  <c r="AQ40" i="1"/>
  <c r="AR40" i="1" s="1"/>
  <c r="AQ41" i="1"/>
  <c r="AR41" i="1" s="1"/>
  <c r="AQ42" i="1"/>
  <c r="AR42" i="1" s="1"/>
  <c r="AQ43" i="1"/>
  <c r="AR43" i="1" s="1"/>
  <c r="AQ44" i="1"/>
  <c r="AR44" i="1" s="1"/>
  <c r="AQ45" i="1"/>
  <c r="AR45" i="1" s="1"/>
  <c r="AQ46" i="1"/>
  <c r="AR46" i="1" s="1"/>
  <c r="AQ47" i="1"/>
  <c r="AR47" i="1" s="1"/>
  <c r="AQ48" i="1"/>
  <c r="AR48" i="1" s="1"/>
  <c r="AQ49" i="1"/>
  <c r="AR49" i="1" s="1"/>
  <c r="AQ50" i="1"/>
  <c r="AR50" i="1" s="1"/>
  <c r="AQ51" i="1"/>
  <c r="AR51" i="1" s="1"/>
  <c r="AQ52" i="1"/>
  <c r="AR52" i="1" s="1"/>
  <c r="AQ53" i="1"/>
  <c r="AR53" i="1" s="1"/>
  <c r="AQ54" i="1"/>
  <c r="AR54" i="1" s="1"/>
  <c r="AQ55" i="1"/>
  <c r="AR55" i="1" s="1"/>
  <c r="AQ56" i="1"/>
  <c r="AR56" i="1" s="1"/>
  <c r="AQ57" i="1"/>
  <c r="AR57" i="1" s="1"/>
  <c r="AQ58" i="1"/>
  <c r="AR58" i="1" s="1"/>
  <c r="AQ59" i="1"/>
  <c r="AR59" i="1" s="1"/>
  <c r="AQ60" i="1"/>
  <c r="AR60" i="1" s="1"/>
  <c r="AQ61" i="1"/>
  <c r="AR61" i="1" s="1"/>
  <c r="AQ62" i="1"/>
  <c r="AR62" i="1" s="1"/>
  <c r="AQ63" i="1"/>
  <c r="AR63" i="1" s="1"/>
  <c r="AQ64" i="1"/>
  <c r="AR64" i="1" s="1"/>
  <c r="AQ65" i="1"/>
  <c r="AR65" i="1" s="1"/>
  <c r="AQ66" i="1"/>
  <c r="AR66" i="1" s="1"/>
  <c r="AQ67" i="1"/>
  <c r="AR67" i="1" s="1"/>
  <c r="AQ68" i="1"/>
  <c r="AR68" i="1" s="1"/>
  <c r="AQ69" i="1"/>
  <c r="AR69" i="1" s="1"/>
  <c r="AQ70" i="1"/>
  <c r="AR70" i="1" s="1"/>
  <c r="AQ71" i="1"/>
  <c r="AR71" i="1" s="1"/>
  <c r="AQ72" i="1"/>
  <c r="AR72" i="1" s="1"/>
  <c r="AQ73" i="1"/>
  <c r="AR73" i="1" s="1"/>
  <c r="AQ74" i="1"/>
  <c r="AR74" i="1" s="1"/>
  <c r="AQ75" i="1"/>
  <c r="AR75" i="1" s="1"/>
  <c r="AQ76" i="1"/>
  <c r="AR76" i="1" s="1"/>
  <c r="AQ77" i="1"/>
  <c r="AR77" i="1" s="1"/>
  <c r="AQ78" i="1"/>
  <c r="AR78" i="1" s="1"/>
  <c r="AQ79" i="1"/>
  <c r="AR79" i="1" s="1"/>
  <c r="AQ80" i="1"/>
  <c r="AR80" i="1" s="1"/>
  <c r="AQ81" i="1"/>
  <c r="AR81" i="1" s="1"/>
  <c r="AQ82" i="1"/>
  <c r="AR82" i="1" s="1"/>
  <c r="AQ83" i="1"/>
  <c r="AR83" i="1" s="1"/>
  <c r="AQ84" i="1"/>
  <c r="AR84" i="1" s="1"/>
  <c r="AQ85" i="1"/>
  <c r="AR85" i="1" s="1"/>
  <c r="AQ86" i="1"/>
  <c r="AR86" i="1" s="1"/>
  <c r="AQ87" i="1"/>
  <c r="AR87" i="1" s="1"/>
  <c r="AQ88" i="1"/>
  <c r="AR88" i="1" s="1"/>
  <c r="AQ89" i="1"/>
  <c r="AR89" i="1" s="1"/>
  <c r="AQ90" i="1"/>
  <c r="AR90" i="1" s="1"/>
  <c r="AQ91" i="1"/>
  <c r="AR91" i="1" s="1"/>
  <c r="AQ92" i="1"/>
  <c r="AR92" i="1" s="1"/>
  <c r="AQ93" i="1"/>
  <c r="AR93" i="1" s="1"/>
  <c r="AQ94" i="1"/>
  <c r="AR94" i="1" s="1"/>
  <c r="AQ95" i="1"/>
  <c r="AR95" i="1" s="1"/>
  <c r="AQ96" i="1"/>
  <c r="AR96" i="1" s="1"/>
  <c r="AQ97" i="1"/>
  <c r="AR97" i="1" s="1"/>
  <c r="AQ98" i="1"/>
  <c r="AR98" i="1" s="1"/>
  <c r="AQ99" i="1"/>
  <c r="AR99" i="1" s="1"/>
  <c r="AQ100" i="1"/>
  <c r="AR100" i="1" s="1"/>
  <c r="AQ101" i="1"/>
  <c r="AR101" i="1" s="1"/>
  <c r="AQ102" i="1"/>
  <c r="AR102" i="1" s="1"/>
  <c r="AQ103" i="1"/>
  <c r="AR103" i="1" s="1"/>
  <c r="AQ104" i="1"/>
  <c r="AR104" i="1" s="1"/>
  <c r="AQ105" i="1"/>
  <c r="AR105" i="1" s="1"/>
  <c r="AQ106" i="1"/>
  <c r="AR106" i="1" s="1"/>
  <c r="AQ107" i="1"/>
  <c r="AR107" i="1" s="1"/>
  <c r="AQ108" i="1"/>
  <c r="AR108" i="1" s="1"/>
  <c r="AQ109" i="1"/>
  <c r="AR109" i="1" s="1"/>
  <c r="AQ110" i="1"/>
  <c r="AR110" i="1" s="1"/>
  <c r="AQ111" i="1"/>
  <c r="AR111" i="1" s="1"/>
  <c r="AQ112" i="1"/>
  <c r="AR112" i="1" s="1"/>
  <c r="AQ113" i="1"/>
  <c r="AR113" i="1" s="1"/>
  <c r="AQ114" i="1"/>
  <c r="AR114" i="1" s="1"/>
  <c r="AQ115" i="1"/>
  <c r="AR115" i="1" s="1"/>
  <c r="AQ116" i="1"/>
  <c r="AR116" i="1" s="1"/>
  <c r="AQ117" i="1"/>
  <c r="AR117" i="1" s="1"/>
  <c r="AQ118" i="1"/>
  <c r="AR118" i="1" s="1"/>
  <c r="AQ119" i="1"/>
  <c r="AR119" i="1" s="1"/>
  <c r="AQ120" i="1"/>
  <c r="AR120" i="1" s="1"/>
  <c r="AQ121" i="1"/>
  <c r="AR121" i="1" s="1"/>
  <c r="AQ122" i="1"/>
  <c r="AR122" i="1" s="1"/>
  <c r="AQ123" i="1"/>
  <c r="AR123" i="1" s="1"/>
  <c r="AQ124" i="1"/>
  <c r="AR124" i="1" s="1"/>
  <c r="AQ125" i="1"/>
  <c r="AR125" i="1" s="1"/>
  <c r="AQ126" i="1"/>
  <c r="AR126" i="1" s="1"/>
  <c r="AQ127" i="1"/>
  <c r="AR127" i="1" s="1"/>
  <c r="AQ128" i="1"/>
  <c r="AR128" i="1" s="1"/>
  <c r="AQ129" i="1"/>
  <c r="AR129" i="1" s="1"/>
  <c r="AQ130" i="1"/>
  <c r="AR130" i="1" s="1"/>
  <c r="AQ131" i="1"/>
  <c r="AR131" i="1" s="1"/>
  <c r="AQ132" i="1"/>
  <c r="AR132" i="1" s="1"/>
  <c r="AQ133" i="1"/>
  <c r="AR133" i="1" s="1"/>
  <c r="AQ134" i="1"/>
  <c r="AR134" i="1" s="1"/>
  <c r="AQ135" i="1"/>
  <c r="AR135" i="1" s="1"/>
  <c r="AQ136" i="1"/>
  <c r="AR136" i="1" s="1"/>
  <c r="AQ137" i="1"/>
  <c r="AR137" i="1" s="1"/>
  <c r="AQ138" i="1"/>
  <c r="AR138" i="1" s="1"/>
  <c r="AQ139" i="1"/>
  <c r="AR139" i="1" s="1"/>
  <c r="AQ140" i="1"/>
  <c r="AR140" i="1" s="1"/>
  <c r="AQ141" i="1"/>
  <c r="AR141" i="1" s="1"/>
  <c r="AQ142" i="1"/>
  <c r="AR142" i="1" s="1"/>
  <c r="AQ143" i="1"/>
  <c r="AR143" i="1" s="1"/>
  <c r="AQ144" i="1"/>
  <c r="AR144" i="1" s="1"/>
  <c r="AQ145" i="1"/>
  <c r="AR145" i="1" s="1"/>
  <c r="AQ146" i="1"/>
  <c r="AR146" i="1" s="1"/>
  <c r="AQ147" i="1"/>
  <c r="AR147" i="1" s="1"/>
  <c r="AQ148" i="1"/>
  <c r="AR148" i="1" s="1"/>
  <c r="AQ149" i="1"/>
  <c r="AR149" i="1" s="1"/>
  <c r="AQ3" i="1"/>
  <c r="AR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Hoang Xuan Thang</author>
    <author>Dang Anh Tuan</author>
  </authors>
  <commentList>
    <comment ref="D28" authorId="0" shapeId="0" xr:uid="{C3A7E10F-73EB-41E0-BC3E-ED3567F38728}">
      <text>
        <r>
          <rPr>
            <b/>
            <sz val="9"/>
            <color indexed="81"/>
            <rFont val="Tahoma"/>
            <family val="2"/>
            <charset val="163"/>
          </rPr>
          <t>Hoang Xuan Thang:</t>
        </r>
        <r>
          <rPr>
            <sz val="9"/>
            <color indexed="81"/>
            <rFont val="Tahoma"/>
            <family val="2"/>
            <charset val="163"/>
          </rPr>
          <t xml:space="preserve">
da ban hanh roi</t>
        </r>
      </text>
    </comment>
    <comment ref="S29" authorId="1" shapeId="0" xr:uid="{D9C6EA69-1610-4B1D-93DE-CFDF6FD8B19A}">
      <text>
        <r>
          <rPr>
            <b/>
            <sz val="9"/>
            <color indexed="81"/>
            <rFont val="Tahoma"/>
            <family val="2"/>
          </rPr>
          <t>Dang Anh Tuan:</t>
        </r>
        <r>
          <rPr>
            <sz val="9"/>
            <color indexed="81"/>
            <rFont val="Tahoma"/>
            <family val="2"/>
          </rPr>
          <t xml:space="preserve">
26.05.26
13.5 =&gt; 48</t>
        </r>
      </text>
    </comment>
    <comment ref="T29" authorId="1" shapeId="0" xr:uid="{94EE09BC-F965-45E6-8D4C-6079E39DFEB1}">
      <text>
        <r>
          <rPr>
            <b/>
            <sz val="9"/>
            <color indexed="81"/>
            <rFont val="Tahoma"/>
            <family val="2"/>
          </rPr>
          <t>Dang Anh Tuan:</t>
        </r>
        <r>
          <rPr>
            <sz val="9"/>
            <color indexed="81"/>
            <rFont val="Tahoma"/>
            <family val="2"/>
          </rPr>
          <t xml:space="preserve">
26.05.26
18.5 =&gt; 30</t>
        </r>
      </text>
    </comment>
    <comment ref="D31" authorId="0" shapeId="0" xr:uid="{D5453CE1-4DCB-4F88-AF58-0466BCD5D0D8}">
      <text>
        <r>
          <rPr>
            <b/>
            <sz val="9"/>
            <color indexed="81"/>
            <rFont val="Tahoma"/>
            <family val="2"/>
            <charset val="163"/>
          </rPr>
          <t>Hoang Xuan Thang:</t>
        </r>
        <r>
          <rPr>
            <sz val="9"/>
            <color indexed="81"/>
            <rFont val="Tahoma"/>
            <family val="2"/>
            <charset val="163"/>
          </rPr>
          <t xml:space="preserve">
chua cap nhat vao database</t>
        </r>
      </text>
    </comment>
    <comment ref="S62" authorId="1" shapeId="0" xr:uid="{A3FB714A-2600-4D21-BD4D-29247CB81CD7}">
      <text>
        <r>
          <rPr>
            <b/>
            <sz val="9"/>
            <color indexed="81"/>
            <rFont val="Tahoma"/>
            <family val="2"/>
          </rPr>
          <t>Dang Anh Tuan:</t>
        </r>
        <r>
          <rPr>
            <sz val="9"/>
            <color indexed="81"/>
            <rFont val="Tahoma"/>
            <family val="2"/>
          </rPr>
          <t xml:space="preserve">
20.5=&gt;27.6 24.12.25
</t>
        </r>
      </text>
    </comment>
    <comment ref="T62" authorId="1" shapeId="0" xr:uid="{85500CC3-358F-4D9A-80E3-17F6777A795C}">
      <text>
        <r>
          <rPr>
            <b/>
            <sz val="9"/>
            <color indexed="81"/>
            <rFont val="Tahoma"/>
            <family val="2"/>
          </rPr>
          <t>Dang Anh Tuan:</t>
        </r>
        <r>
          <rPr>
            <sz val="9"/>
            <color indexed="81"/>
            <rFont val="Tahoma"/>
            <family val="2"/>
          </rPr>
          <t xml:space="preserve">
25.7=&gt;40 24.12.25</t>
        </r>
      </text>
    </comment>
    <comment ref="O99" authorId="1" shapeId="0" xr:uid="{CA07BA3D-A2E8-4E3A-8C9D-DE1B742CC49A}">
      <text>
        <r>
          <rPr>
            <b/>
            <sz val="9"/>
            <color indexed="81"/>
            <rFont val="Tahoma"/>
            <family val="2"/>
          </rPr>
          <t>Dang Anh Tuan:</t>
        </r>
        <r>
          <rPr>
            <sz val="9"/>
            <color indexed="81"/>
            <rFont val="Tahoma"/>
            <family val="2"/>
          </rPr>
          <t xml:space="preserve">
thay đổi 14/06/2025
cũ 495
mới 500</t>
        </r>
      </text>
    </comment>
    <comment ref="P99" authorId="1" shapeId="0" xr:uid="{AC7F487B-03DF-4C71-8B7F-5B775E4BEDE9}">
      <text>
        <r>
          <rPr>
            <b/>
            <sz val="9"/>
            <color indexed="81"/>
            <rFont val="Tahoma"/>
            <family val="2"/>
          </rPr>
          <t>Dang Anh Tuan:</t>
        </r>
        <r>
          <rPr>
            <sz val="9"/>
            <color indexed="81"/>
            <rFont val="Tahoma"/>
            <family val="2"/>
          </rPr>
          <t xml:space="preserve">
14/06/2025 cũ 216
mới 220</t>
        </r>
      </text>
    </comment>
    <comment ref="D112" authorId="0" shapeId="0" xr:uid="{B5A55BE8-B981-4971-89E9-11805AB38E8C}">
      <text>
        <r>
          <rPr>
            <b/>
            <sz val="9"/>
            <color indexed="81"/>
            <rFont val="Tahoma"/>
            <family val="2"/>
            <charset val="163"/>
          </rPr>
          <t>Hoang Xuan Thang:</t>
        </r>
        <r>
          <rPr>
            <sz val="9"/>
            <color indexed="81"/>
            <rFont val="Tahoma"/>
            <family val="2"/>
            <charset val="163"/>
          </rPr>
          <t xml:space="preserve">
chua co khuon ep xuat</t>
        </r>
      </text>
    </comment>
    <comment ref="D116" authorId="0" shapeId="0" xr:uid="{DB576D54-03C7-4B0C-ABEA-43FD66958565}">
      <text>
        <r>
          <rPr>
            <b/>
            <sz val="9"/>
            <color indexed="81"/>
            <rFont val="Tahoma"/>
            <family val="2"/>
            <charset val="163"/>
          </rPr>
          <t>Hoang Xuan Thang:</t>
        </r>
        <r>
          <rPr>
            <sz val="9"/>
            <color indexed="81"/>
            <rFont val="Tahoma"/>
            <family val="2"/>
            <charset val="163"/>
          </rPr>
          <t xml:space="preserve">
chua co khuon
</t>
        </r>
      </text>
    </comment>
    <comment ref="D119" authorId="0" shapeId="0" xr:uid="{77DFFC24-F6E6-4E92-89A1-4A51FB59FAFD}">
      <text>
        <r>
          <rPr>
            <b/>
            <sz val="9"/>
            <color indexed="81"/>
            <rFont val="Tahoma"/>
            <family val="2"/>
            <charset val="163"/>
          </rPr>
          <t>Hoang Xuan Thang:</t>
        </r>
        <r>
          <rPr>
            <sz val="9"/>
            <color indexed="81"/>
            <rFont val="Tahoma"/>
            <family val="2"/>
            <charset val="163"/>
          </rPr>
          <t xml:space="preserve">
dung khuon 80/80-16 WF930
</t>
        </r>
      </text>
    </comment>
    <comment ref="D120" authorId="0" shapeId="0" xr:uid="{E9CFD5F7-95A2-4B62-9816-5313414ED092}">
      <text>
        <r>
          <rPr>
            <b/>
            <sz val="9"/>
            <color indexed="81"/>
            <rFont val="Tahoma"/>
            <family val="2"/>
            <charset val="163"/>
          </rPr>
          <t>Hoang Xuan Thang:</t>
        </r>
        <r>
          <rPr>
            <sz val="9"/>
            <color indexed="81"/>
            <rFont val="Tahoma"/>
            <family val="2"/>
            <charset val="163"/>
          </rPr>
          <t xml:space="preserve">
Dùng khuôn 90/80-17  46P WF930.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C6408C3-CAF8-4BE8-A607-E901ED0173CA}" keepAlive="1" name="Query - spec" description="Connection to the 'spec' query in the workbook." type="5" refreshedVersion="8" background="1" saveData="1">
    <dbPr connection="Provider=Microsoft.Mashup.OleDb.1;Data Source=$Workbook$;Location=spec;Extended Properties=&quot;&quot;" command="SELECT * FROM [spec]"/>
  </connection>
</connections>
</file>

<file path=xl/sharedStrings.xml><?xml version="1.0" encoding="utf-8"?>
<sst xmlns="http://schemas.openxmlformats.org/spreadsheetml/2006/main" count="4463" uniqueCount="1184">
  <si>
    <t>Số ép xuất
Extruder №
押出№</t>
  </si>
  <si>
    <t>Mã số quản lý ép xuất
押出ｺｰﾄＮｏ</t>
  </si>
  <si>
    <t>Cỡ lốp
サイズ</t>
  </si>
  <si>
    <t>Mã trọng tải
LI</t>
  </si>
  <si>
    <t>Ký hiệu tốc độ
SS</t>
  </si>
  <si>
    <t>Số lớp
P.R</t>
  </si>
  <si>
    <t>Hoa lốp
パターン</t>
  </si>
  <si>
    <t>Máy ép xuất
押出機</t>
  </si>
  <si>
    <t>Tình trạng ép xuất
押出形態</t>
  </si>
  <si>
    <t>Số khuôn
口金№</t>
  </si>
  <si>
    <t>Cao su cho lòng máy trên
ﾄﾚｯﾄﾞ配合上</t>
  </si>
  <si>
    <t>Cao su cho lòng máy dưới
ﾄﾚｯﾄﾞ配合下</t>
  </si>
  <si>
    <t>Chiều dài mặt lốp
ﾄﾚｯﾄﾞ長さ</t>
  </si>
  <si>
    <t>Giá trị cân trọng lượng tự động
重量計値</t>
  </si>
  <si>
    <t>Tên cao su lớp đệm
ｽｷｼﾞ名</t>
  </si>
  <si>
    <t>Rộng lớp đệm
ｽｷｼﾞ幅</t>
  </si>
  <si>
    <t>Dày lớp đệm
ｽｷｼﾞ厚み</t>
  </si>
  <si>
    <t>Trọng lượng đệm lót
クッション部重量</t>
  </si>
  <si>
    <t>Trọng lượng mặt lốp có TUC
ｽｷｼﾞ付押出重量</t>
  </si>
  <si>
    <t>Dung sai xe</t>
  </si>
  <si>
    <t>Dung sai Roll</t>
  </si>
  <si>
    <t>Đường chỉ màu
識別線</t>
  </si>
  <si>
    <t>Tốc độ CV
CV速度</t>
  </si>
  <si>
    <t>Dấu khắc No
刻印№</t>
  </si>
  <si>
    <t>Draw -1
ドロー１
(BT trước)</t>
  </si>
  <si>
    <t>Draw - 2
ドロー２
(BT dốc)</t>
  </si>
  <si>
    <t>Draw -3
ドロー３
(BT keo)</t>
  </si>
  <si>
    <t>Draw - 4
ドロー４
(BT làm mát)</t>
  </si>
  <si>
    <t>Draw - 5
ドロー5
(BT T.U.C)</t>
  </si>
  <si>
    <t>Mã Item code</t>
  </si>
  <si>
    <t>TL</t>
  </si>
  <si>
    <t>Số tiêu chuẩn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</si>
  <si>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</si>
  <si>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</si>
  <si>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</si>
  <si>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</si>
  <si>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</si>
  <si>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</si>
  <si>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</si>
  <si>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</si>
  <si>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</si>
  <si>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</si>
  <si>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</si>
  <si>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</si>
  <si>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</si>
  <si>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</si>
  <si>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</si>
  <si>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</si>
  <si>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</si>
  <si>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</si>
  <si>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</si>
  <si>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</si>
  <si>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</si>
  <si>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</si>
  <si>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</si>
  <si>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</si>
  <si>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</si>
  <si>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</si>
  <si>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</si>
  <si>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</si>
  <si>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</si>
  <si>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</si>
  <si>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</si>
  <si>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</si>
  <si>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</si>
  <si>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</si>
  <si>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</si>
  <si>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</si>
  <si>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</si>
  <si>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</si>
  <si>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</si>
  <si>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</si>
  <si>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</si>
  <si>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</si>
  <si>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</si>
  <si>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</si>
  <si>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46</t>
  </si>
  <si>
    <t>48</t>
  </si>
  <si>
    <t>49</t>
  </si>
  <si>
    <t>50</t>
  </si>
  <si>
    <t>51</t>
  </si>
  <si>
    <t>53</t>
  </si>
  <si>
    <t>56</t>
  </si>
  <si>
    <t>58</t>
  </si>
  <si>
    <t>71LE1MB</t>
  </si>
  <si>
    <t>2.25-17</t>
  </si>
  <si>
    <t>L</t>
  </si>
  <si>
    <t>4PR</t>
  </si>
  <si>
    <t>NF3</t>
  </si>
  <si>
    <t>3-Xe</t>
  </si>
  <si>
    <t>Xe</t>
  </si>
  <si>
    <t>DT-001</t>
  </si>
  <si>
    <t>TS-674A</t>
  </si>
  <si>
    <t>-</t>
  </si>
  <si>
    <t>| -</t>
  </si>
  <si>
    <t>TYM-M1001</t>
  </si>
  <si>
    <t>71LE3MB</t>
  </si>
  <si>
    <t>NF26</t>
  </si>
  <si>
    <t>|15W10G (15Trắng 10Xanh lá cây)</t>
  </si>
  <si>
    <t>TYM-M1003</t>
  </si>
  <si>
    <t>71LE5MB</t>
  </si>
  <si>
    <t>NF26 D</t>
  </si>
  <si>
    <t>DT-098</t>
  </si>
  <si>
    <t>TS-644A</t>
  </si>
  <si>
    <t>|15W10W (15Trắng 10Trắng)</t>
  </si>
  <si>
    <t>TYM-M1140</t>
  </si>
  <si>
    <t>72LE1MB</t>
  </si>
  <si>
    <t>2.50-17</t>
  </si>
  <si>
    <t>NR6</t>
  </si>
  <si>
    <t>DT-002</t>
  </si>
  <si>
    <t>|15B (15XDT)</t>
  </si>
  <si>
    <t>TYM-M1009</t>
  </si>
  <si>
    <t>72LE2MB</t>
  </si>
  <si>
    <t>| 15R (15Đỏ)</t>
  </si>
  <si>
    <t>TYM-M1009A</t>
  </si>
  <si>
    <t>72LE3MB</t>
  </si>
  <si>
    <t>6PR</t>
  </si>
  <si>
    <t>10V | 15Y (10Tím | 15Vàng)</t>
  </si>
  <si>
    <t>↑NR6-674/- Month Date</t>
  </si>
  <si>
    <t>TYM-M1010A</t>
  </si>
  <si>
    <t>72LE4MB</t>
  </si>
  <si>
    <t>NR30</t>
  </si>
  <si>
    <t>DT-003</t>
  </si>
  <si>
    <t>| 15W10R (15Trắng 10Đỏ)</t>
  </si>
  <si>
    <t>TYM-M1015</t>
  </si>
  <si>
    <t>72LE5MB</t>
  </si>
  <si>
    <t>NR30 D</t>
  </si>
  <si>
    <t>DT-099</t>
  </si>
  <si>
    <t>| 20G 10Y (20Xanh lá cây 10Vàng)</t>
  </si>
  <si>
    <t>TYM-M1141</t>
  </si>
  <si>
    <t>72LE6MB</t>
  </si>
  <si>
    <t>10B | 15W (10XDT | 15Trắng)</t>
  </si>
  <si>
    <t>TYM-M1015A</t>
  </si>
  <si>
    <t>72LE8MB</t>
  </si>
  <si>
    <t>| 15G10V (15Xanh lá cây 10Tím)</t>
  </si>
  <si>
    <t>↑NR30-674/- Month Date</t>
  </si>
  <si>
    <t>72LE9MB</t>
  </si>
  <si>
    <t>NF47</t>
  </si>
  <si>
    <t>| 15B10G (15XDT 10Xanh lá cây)</t>
  </si>
  <si>
    <t>TYM-M1017</t>
  </si>
  <si>
    <t>72LEAMB</t>
  </si>
  <si>
    <t>NR53</t>
  </si>
  <si>
    <t>DT-004</t>
  </si>
  <si>
    <t>| 10R10R (10Đỏ 10Đỏ)</t>
  </si>
  <si>
    <t>TYM-M1018</t>
  </si>
  <si>
    <t>72LEBMB</t>
  </si>
  <si>
    <t>10R | 10G (10Đỏ |10Xanh lá cây)</t>
  </si>
  <si>
    <t>TYM-M1018A</t>
  </si>
  <si>
    <t>73PE2MB</t>
  </si>
  <si>
    <t>2.75-17</t>
  </si>
  <si>
    <t>P</t>
  </si>
  <si>
    <t>DT-005</t>
  </si>
  <si>
    <t>| 15W (15Trắng)</t>
  </si>
  <si>
    <t>TYM-M1023</t>
  </si>
  <si>
    <t>73PE3MB</t>
  </si>
  <si>
    <t>10V | 15W (10Tím |15Trắng)</t>
  </si>
  <si>
    <t>TYM-M1023A</t>
  </si>
  <si>
    <t>73PE4MB</t>
  </si>
  <si>
    <t>NR60</t>
  </si>
  <si>
    <t>| 15B (15XDT)</t>
  </si>
  <si>
    <t>TYM-M1024</t>
  </si>
  <si>
    <t>73PE5MB</t>
  </si>
  <si>
    <t>10B | 15Y (10XDT |15Vàng)</t>
  </si>
  <si>
    <t>TYM-M1024A</t>
  </si>
  <si>
    <t>16J71MB</t>
  </si>
  <si>
    <t>90/100-10</t>
  </si>
  <si>
    <t>J</t>
  </si>
  <si>
    <t>MB47</t>
  </si>
  <si>
    <t>DT-006</t>
  </si>
  <si>
    <t>TYTL-M1035</t>
  </si>
  <si>
    <t>16J72MB</t>
  </si>
  <si>
    <t>MB48</t>
  </si>
  <si>
    <t>↑MB48-674/- Month Date</t>
  </si>
  <si>
    <t>TYTL-M1036</t>
  </si>
  <si>
    <t>16J73MB</t>
  </si>
  <si>
    <t>MB520</t>
  </si>
  <si>
    <t>DT-007</t>
  </si>
  <si>
    <t>| 15G ( 15Xanh lá cây)</t>
  </si>
  <si>
    <t>TYTL-M1084</t>
  </si>
  <si>
    <t>CR-1</t>
  </si>
  <si>
    <t>22J71MB</t>
  </si>
  <si>
    <t>100/90-10</t>
  </si>
  <si>
    <t>DT-008</t>
  </si>
  <si>
    <t xml:space="preserve">(10Trắng 15Trắng) 10W 15W | </t>
  </si>
  <si>
    <t>TYTL-M1093</t>
  </si>
  <si>
    <t>22J72MB</t>
  </si>
  <si>
    <t>MB520Z</t>
  </si>
  <si>
    <t>DT-009</t>
  </si>
  <si>
    <t>| 20R10R (20Đỏ 10Đỏ)</t>
  </si>
  <si>
    <t>TYTL-M1098</t>
  </si>
  <si>
    <t>LR-6</t>
  </si>
  <si>
    <t>22J72TR</t>
  </si>
  <si>
    <t>3-Roll</t>
  </si>
  <si>
    <t>Roll</t>
  </si>
  <si>
    <t>34L71MB</t>
  </si>
  <si>
    <t>120/70-10</t>
  </si>
  <si>
    <t>SCT-002</t>
  </si>
  <si>
    <t>DT-010</t>
  </si>
  <si>
    <t>TYTL-M1102</t>
  </si>
  <si>
    <t>PR-1</t>
  </si>
  <si>
    <t>29L81MB</t>
  </si>
  <si>
    <t>110/70-11</t>
  </si>
  <si>
    <t>DT-011</t>
  </si>
  <si>
    <t>TH-603A</t>
  </si>
  <si>
    <t>| 20V (20Tím)</t>
  </si>
  <si>
    <t>TYTL-M1101</t>
  </si>
  <si>
    <t>PF-1-1</t>
  </si>
  <si>
    <t>17J91MB</t>
  </si>
  <si>
    <t>90/90-12</t>
  </si>
  <si>
    <t xml:space="preserve">MB48 </t>
  </si>
  <si>
    <t>DT-012</t>
  </si>
  <si>
    <t>TYTL-M1092</t>
  </si>
  <si>
    <t>17J92MB</t>
  </si>
  <si>
    <t>DT-013</t>
  </si>
  <si>
    <t>| 20B10B (20XDT 10XDT)</t>
  </si>
  <si>
    <t>TYTL-M1097</t>
  </si>
  <si>
    <t>LF-6</t>
  </si>
  <si>
    <t>07PB1MB</t>
  </si>
  <si>
    <t>70/90-14M/C</t>
  </si>
  <si>
    <t>NF59</t>
  </si>
  <si>
    <t>DT-014</t>
  </si>
  <si>
    <t>| 25B (25XDT)</t>
  </si>
  <si>
    <t>TYM-M1027</t>
  </si>
  <si>
    <t>F-9</t>
  </si>
  <si>
    <t>12PB1MB</t>
  </si>
  <si>
    <t>80/90-14M/C</t>
  </si>
  <si>
    <t>NF66</t>
  </si>
  <si>
    <t>DT-015</t>
  </si>
  <si>
    <t>| 15W10W (15Trắng 10Trắng)</t>
  </si>
  <si>
    <t>TYTL-M1058</t>
  </si>
  <si>
    <t>VF-1</t>
  </si>
  <si>
    <t>12PB2MB</t>
  </si>
  <si>
    <t>NR73Tz</t>
  </si>
  <si>
    <t>DT-016</t>
  </si>
  <si>
    <t>| 25W (25Trắng)</t>
  </si>
  <si>
    <t>TYM-M1046</t>
  </si>
  <si>
    <t>CFV-7</t>
  </si>
  <si>
    <t>12PB3MB</t>
  </si>
  <si>
    <t>NR76</t>
  </si>
  <si>
    <t>DT-017</t>
  </si>
  <si>
    <t>TYM-M1028</t>
  </si>
  <si>
    <t>12PB4MB</t>
  </si>
  <si>
    <t>10Y | 10W (10Vàng | 10Trắng)</t>
  </si>
  <si>
    <t>TYM-M1028A</t>
  </si>
  <si>
    <t>12PB5TR</t>
  </si>
  <si>
    <t>NR87</t>
  </si>
  <si>
    <t>10R | 15B10B (10Đỏ | 15XDT10XDT)</t>
  </si>
  <si>
    <t>TYTL-M1087</t>
  </si>
  <si>
    <t>18PB1MB</t>
  </si>
  <si>
    <t>90/80-14M/C</t>
  </si>
  <si>
    <t>NR76A</t>
  </si>
  <si>
    <t>DT-018</t>
  </si>
  <si>
    <t>| 15B10R (15XDT 10Đỏ)</t>
  </si>
  <si>
    <t>TYM-M1055</t>
  </si>
  <si>
    <t>AR-2</t>
  </si>
  <si>
    <t>17PB1MB</t>
  </si>
  <si>
    <t>90/90-14M/C</t>
  </si>
  <si>
    <t>NR73T</t>
  </si>
  <si>
    <t>DT-019</t>
  </si>
  <si>
    <t>| 25R (25Đỏ)</t>
  </si>
  <si>
    <t>TYM-M1045</t>
  </si>
  <si>
    <t>CRV-11</t>
  </si>
  <si>
    <t>17PB2MB</t>
  </si>
  <si>
    <t>TH-611A</t>
  </si>
  <si>
    <t>| 15R10R (15Đỏ 10Đỏ)</t>
  </si>
  <si>
    <t>TYM-M1045A</t>
  </si>
  <si>
    <t>17PB3MB</t>
  </si>
  <si>
    <t>NR83</t>
  </si>
  <si>
    <t>DT-020</t>
  </si>
  <si>
    <t>| 15Y (15Vàng)</t>
  </si>
  <si>
    <t>TYTL-M1059</t>
  </si>
  <si>
    <t>VR-1</t>
  </si>
  <si>
    <t>17PB4BB</t>
  </si>
  <si>
    <t>10W | 15B10B (10Trắng| 15XDT10XDT)</t>
  </si>
  <si>
    <t>TYTL-M1082</t>
  </si>
  <si>
    <t>17PB5TB</t>
  </si>
  <si>
    <t>SS-560F</t>
  </si>
  <si>
    <t>DT-021</t>
  </si>
  <si>
    <t>TYTL-M1063</t>
  </si>
  <si>
    <t>VF-1-1</t>
  </si>
  <si>
    <t>17PB6TR</t>
  </si>
  <si>
    <t>DT-022</t>
  </si>
  <si>
    <t>| 15G10Y (15Xanh lá cây 10Vàng)</t>
  </si>
  <si>
    <t>TYTL-M1080</t>
  </si>
  <si>
    <t>VF-1-1B</t>
  </si>
  <si>
    <t>23JB1MB</t>
  </si>
  <si>
    <t>100/80-14M/C</t>
  </si>
  <si>
    <t>DT-023</t>
  </si>
  <si>
    <t>570</t>
  </si>
  <si>
    <t>950</t>
  </si>
  <si>
    <t>980</t>
  </si>
  <si>
    <t>700</t>
  </si>
  <si>
    <t>TYTL-M1100</t>
  </si>
  <si>
    <t>22PB1TR</t>
  </si>
  <si>
    <t>100/90-14M/C</t>
  </si>
  <si>
    <t>SS-560R E</t>
  </si>
  <si>
    <t>DT-024</t>
  </si>
  <si>
    <t>TD-630A</t>
  </si>
  <si>
    <t>TYTL-M1094</t>
  </si>
  <si>
    <t>RR-4-1</t>
  </si>
  <si>
    <t>22PB2TR</t>
  </si>
  <si>
    <t>SS-560R</t>
  </si>
  <si>
    <t>DT-025</t>
  </si>
  <si>
    <t>| 15B10B (15XDT 10XDT)</t>
  </si>
  <si>
    <t>TYTL-M1064</t>
  </si>
  <si>
    <t>VR-1-1</t>
  </si>
  <si>
    <t>22PB3TR</t>
  </si>
  <si>
    <t>SS-560R D</t>
  </si>
  <si>
    <t>| 15Y10Y (15Vàng 10Vàng)</t>
  </si>
  <si>
    <t>TYTL-M1081</t>
  </si>
  <si>
    <t>12JC1MB</t>
  </si>
  <si>
    <t>80/90-15M/C</t>
  </si>
  <si>
    <t>DT-026</t>
  </si>
  <si>
    <t>TYTL-M1099</t>
  </si>
  <si>
    <t>13PD1MB</t>
  </si>
  <si>
    <t>80/80-16M/C</t>
  </si>
  <si>
    <t>WF-930RS</t>
  </si>
  <si>
    <t>DT-027</t>
  </si>
  <si>
    <t>TYTL-M1074</t>
  </si>
  <si>
    <t>CT-5</t>
  </si>
  <si>
    <t>18PD1MB</t>
  </si>
  <si>
    <t>90/80-16M/C</t>
  </si>
  <si>
    <t>DT-028</t>
  </si>
  <si>
    <t>| 15R10W (15Đỏ 10Trắng)</t>
  </si>
  <si>
    <t>TYTL-M1075</t>
  </si>
  <si>
    <t>CT-3</t>
  </si>
  <si>
    <t>07PD1MB</t>
  </si>
  <si>
    <t>70/90-16M/C</t>
  </si>
  <si>
    <t>NF59A</t>
  </si>
  <si>
    <t>DT-029</t>
  </si>
  <si>
    <t>| 20G10G (20Xanh lá cây 10Xanh lá cây)</t>
  </si>
  <si>
    <t>TYM-M1030</t>
  </si>
  <si>
    <t>FV-5</t>
  </si>
  <si>
    <t>07PD2MB</t>
  </si>
  <si>
    <t>DT-030</t>
  </si>
  <si>
    <t>PS-600A</t>
  </si>
  <si>
    <t>100 ± 5</t>
  </si>
  <si>
    <t>TYTL-M1049</t>
  </si>
  <si>
    <t>SFV-3</t>
  </si>
  <si>
    <t>12PD1MB</t>
  </si>
  <si>
    <t>80/90-16M/C</t>
  </si>
  <si>
    <t>DT-031</t>
  </si>
  <si>
    <t>TYM-M1032</t>
  </si>
  <si>
    <t>RV-2</t>
  </si>
  <si>
    <t>12PD2MB</t>
  </si>
  <si>
    <t>DT-032</t>
  </si>
  <si>
    <t>TYTL-M1050</t>
  </si>
  <si>
    <t>SRV-2</t>
  </si>
  <si>
    <t>12PD2TR</t>
  </si>
  <si>
    <t>12PD3MB</t>
  </si>
  <si>
    <t>TYM-M1031A</t>
  </si>
  <si>
    <t>12PD4MB</t>
  </si>
  <si>
    <t>DT-033</t>
  </si>
  <si>
    <t>10W | 25R (10Trắng | 25Đỏ)</t>
  </si>
  <si>
    <t>TYTL-M1083</t>
  </si>
  <si>
    <t>23PD1TR</t>
  </si>
  <si>
    <t>100/80-16M/C</t>
  </si>
  <si>
    <t xml:space="preserve">SS-530F </t>
  </si>
  <si>
    <t>DT-034</t>
  </si>
  <si>
    <t>140 ± 5</t>
  </si>
  <si>
    <t>| 20R (20 Đỏ)</t>
  </si>
  <si>
    <t>TYTL-M1065</t>
  </si>
  <si>
    <t>F-2</t>
  </si>
  <si>
    <t>33PD1TR</t>
  </si>
  <si>
    <t>120/80-16M/C</t>
  </si>
  <si>
    <t xml:space="preserve">SS-530R </t>
  </si>
  <si>
    <t>DT-035</t>
  </si>
  <si>
    <t>200 ± 5</t>
  </si>
  <si>
    <t>94</t>
  </si>
  <si>
    <t>TYTL-M1165</t>
  </si>
  <si>
    <t>R-5</t>
  </si>
  <si>
    <t>03PE1MB</t>
  </si>
  <si>
    <t>60/100-17M/C</t>
  </si>
  <si>
    <t>NF55</t>
  </si>
  <si>
    <t>DT-036</t>
  </si>
  <si>
    <t>| 10R (10Đỏ)</t>
  </si>
  <si>
    <t>TYM-M1039</t>
  </si>
  <si>
    <t>07PE1MB</t>
  </si>
  <si>
    <t>70/90-17M/C</t>
  </si>
  <si>
    <t>DT-037</t>
  </si>
  <si>
    <t>| 18R5V (18Đỏ 5Tím)</t>
  </si>
  <si>
    <t>TYM-M1040</t>
  </si>
  <si>
    <t>07PE3MB</t>
  </si>
  <si>
    <t>NF63B</t>
  </si>
  <si>
    <t>DT-038</t>
  </si>
  <si>
    <t>| 10B15Y (10XDT 15Vàng)</t>
  </si>
  <si>
    <t>TYM-M1041</t>
  </si>
  <si>
    <t>VF-12</t>
  </si>
  <si>
    <t>07PE4MB</t>
  </si>
  <si>
    <t>NF63B D</t>
  </si>
  <si>
    <t>| 10V15R (10Tím 15Đỏ)</t>
  </si>
  <si>
    <t>TYM-M1051</t>
  </si>
  <si>
    <t>AFV-5</t>
  </si>
  <si>
    <t>07PE6MB</t>
  </si>
  <si>
    <t>DT-039</t>
  </si>
  <si>
    <t>| 25G (25Xanh lá cây)</t>
  </si>
  <si>
    <t>TYM-M1033</t>
  </si>
  <si>
    <t>BFV-1</t>
  </si>
  <si>
    <t>10G | 15Y (10Xanh lá cây| 15Vàng)</t>
  </si>
  <si>
    <t>TYM-M1033A</t>
  </si>
  <si>
    <t>07PE8MB</t>
  </si>
  <si>
    <t>NR53 D</t>
  </si>
  <si>
    <t>| 10R10B (10Đỏ 10XDT)</t>
  </si>
  <si>
    <t>TYM-M1048</t>
  </si>
  <si>
    <t>10W | 15Y (10Trắng | 15Vàng)</t>
  </si>
  <si>
    <t>TYM-M1048A</t>
  </si>
  <si>
    <t>07PEAMB</t>
  </si>
  <si>
    <t>NF67</t>
  </si>
  <si>
    <t>DT-040</t>
  </si>
  <si>
    <t>TH-608A</t>
  </si>
  <si>
    <t>TYTL-M1079</t>
  </si>
  <si>
    <t>SF-1-3</t>
  </si>
  <si>
    <t>07PEBMB</t>
  </si>
  <si>
    <t>NR69</t>
  </si>
  <si>
    <t>DT-041</t>
  </si>
  <si>
    <t>| 22Y (22Vàng)</t>
  </si>
  <si>
    <t>TYM-M1053</t>
  </si>
  <si>
    <t>WF-4</t>
  </si>
  <si>
    <t>07PECMB</t>
  </si>
  <si>
    <t>10G | 15R10R (10Xanh lá cây | 15Đỏ10Đỏ)</t>
  </si>
  <si>
    <t>TYM-M1090</t>
  </si>
  <si>
    <t>07PEMMB</t>
  </si>
  <si>
    <t>NR82</t>
  </si>
  <si>
    <t>DT-042</t>
  </si>
  <si>
    <t>| 15B10V (15XDT 10Tím)</t>
  </si>
  <si>
    <t>TYTL-M1056</t>
  </si>
  <si>
    <t>VF-3</t>
  </si>
  <si>
    <t>06PE1MB</t>
  </si>
  <si>
    <t>70/100-17M/C</t>
  </si>
  <si>
    <t>DT-043</t>
  </si>
  <si>
    <t>| 10V10V (10Tím 10Tím)</t>
  </si>
  <si>
    <t>TYM-M1043</t>
  </si>
  <si>
    <t>13PE1MB</t>
  </si>
  <si>
    <t>80/80-17M/C</t>
  </si>
  <si>
    <t>DT-044</t>
  </si>
  <si>
    <t>| 15W10B (15Trắng 10XDT)</t>
  </si>
  <si>
    <t>TYTL-M1071</t>
  </si>
  <si>
    <t>CT-4</t>
  </si>
  <si>
    <t>18PE1MB</t>
  </si>
  <si>
    <t>90/80-17M/C</t>
  </si>
  <si>
    <t>DT-045</t>
  </si>
  <si>
    <t>| 15G10G (15XLC 10Xanh lá cây)</t>
  </si>
  <si>
    <t>TYTL-M1072</t>
  </si>
  <si>
    <t>12PE1MB</t>
  </si>
  <si>
    <t>80/90-17M/C</t>
  </si>
  <si>
    <t>DT-046</t>
  </si>
  <si>
    <t>| 10G10W (10XLC 10Trắng)</t>
  </si>
  <si>
    <t>TYM-M1034</t>
  </si>
  <si>
    <t>BRV-1</t>
  </si>
  <si>
    <t>10B | 10G (10XDT | 10Xanh lá cây)</t>
  </si>
  <si>
    <t>TYM-M1034A</t>
  </si>
  <si>
    <t>12PE3MB</t>
  </si>
  <si>
    <t>| 10R10Y (10Đỏ 10Vàng)</t>
  </si>
  <si>
    <t>TYM-M1047</t>
  </si>
  <si>
    <t>12PEJMB</t>
  </si>
  <si>
    <t xml:space="preserve">NR53 </t>
  </si>
  <si>
    <t>| 15Y10B (15Vàng 10XDT)</t>
  </si>
  <si>
    <t>TYM-M1096</t>
  </si>
  <si>
    <t>VR-6</t>
  </si>
  <si>
    <t>12PE5MB</t>
  </si>
  <si>
    <t>DT-047</t>
  </si>
  <si>
    <t xml:space="preserve">| 22.5W15Y (22.5Trắng 15Vàng) </t>
  </si>
  <si>
    <t>TYM-M1044</t>
  </si>
  <si>
    <t>VR-2</t>
  </si>
  <si>
    <t>TYM-M1044A</t>
  </si>
  <si>
    <t>12PE6MB</t>
  </si>
  <si>
    <t>NR69 D</t>
  </si>
  <si>
    <t>DT-048</t>
  </si>
  <si>
    <t>TD-650A</t>
  </si>
  <si>
    <t>| 10B15B (10XDT 15XDT)</t>
  </si>
  <si>
    <t>TYM-M1078</t>
  </si>
  <si>
    <t>TR-8</t>
  </si>
  <si>
    <t>12PE7MB</t>
  </si>
  <si>
    <t>NR78Y</t>
  </si>
  <si>
    <t>DT-049</t>
  </si>
  <si>
    <t>| 20G10R (20XLC 10Đỏ)</t>
  </si>
  <si>
    <t>TYM-M1042</t>
  </si>
  <si>
    <t>VR-5</t>
  </si>
  <si>
    <t xml:space="preserve">10R | 15B (10Đỏ | 15XDT) </t>
  </si>
  <si>
    <t>TYM-M1042A</t>
  </si>
  <si>
    <t>12PE9MB</t>
  </si>
  <si>
    <t>NR78Y D</t>
  </si>
  <si>
    <t xml:space="preserve">| 10W10W (10Trắng 10Trắng) </t>
  </si>
  <si>
    <t>TYM-M1052</t>
  </si>
  <si>
    <t>ARV-9</t>
  </si>
  <si>
    <t>12PEAMB</t>
  </si>
  <si>
    <t>DT-050</t>
  </si>
  <si>
    <t xml:space="preserve">| 15Y10G (15Vàng 10Xanh lá cây) </t>
  </si>
  <si>
    <t>TYTL-M1077</t>
  </si>
  <si>
    <t>12PEBMB</t>
  </si>
  <si>
    <t xml:space="preserve">10R | 15Y10Y (10Đỏ | 15Vàng 10Vàng) </t>
  </si>
  <si>
    <t>TYM-M1091</t>
  </si>
  <si>
    <t>24PE1MB</t>
  </si>
  <si>
    <t>100/70-17M/C</t>
  </si>
  <si>
    <t>DT-051</t>
  </si>
  <si>
    <t xml:space="preserve">| 15Y10V (15Vàng 10Tím) </t>
  </si>
  <si>
    <t>TYTL-M1057</t>
  </si>
  <si>
    <t>VR-3</t>
  </si>
  <si>
    <t>34PE1MB</t>
  </si>
  <si>
    <t>120/70-17M/C</t>
  </si>
  <si>
    <t>DT-052</t>
  </si>
  <si>
    <t>TYTL-M1076</t>
  </si>
  <si>
    <t>SR-4</t>
  </si>
  <si>
    <t>70N11B</t>
  </si>
  <si>
    <t>2.00-4</t>
  </si>
  <si>
    <t>IR/G</t>
  </si>
  <si>
    <t>DT-053</t>
  </si>
  <si>
    <t>T-552A</t>
  </si>
  <si>
    <t>TYH-C6001</t>
  </si>
  <si>
    <t>72N11BB</t>
  </si>
  <si>
    <t>2.50-4</t>
  </si>
  <si>
    <t>GC/S</t>
  </si>
  <si>
    <t>DT-054</t>
  </si>
  <si>
    <t>TYH-C6002</t>
  </si>
  <si>
    <t>72N12BB</t>
  </si>
  <si>
    <t>IR</t>
  </si>
  <si>
    <t>DT-055</t>
  </si>
  <si>
    <t>TYH-C6003</t>
  </si>
  <si>
    <t>72N13BB</t>
  </si>
  <si>
    <t>IR/OKD</t>
  </si>
  <si>
    <t xml:space="preserve">| 10W (10Trắng) </t>
  </si>
  <si>
    <t>TYH-C6004</t>
  </si>
  <si>
    <t>72N14BR</t>
  </si>
  <si>
    <t>CT22/G</t>
  </si>
  <si>
    <t>DT-056</t>
  </si>
  <si>
    <t>TYH-C6005</t>
  </si>
  <si>
    <t>72N15BR</t>
  </si>
  <si>
    <t>CT25/G</t>
  </si>
  <si>
    <t>DT-057</t>
  </si>
  <si>
    <t>TYH-C6006</t>
  </si>
  <si>
    <t>74N11BB</t>
  </si>
  <si>
    <t>3.00-4</t>
  </si>
  <si>
    <t>IR3</t>
  </si>
  <si>
    <t>DT-058</t>
  </si>
  <si>
    <t>TYH-C6009</t>
  </si>
  <si>
    <t>74N12B</t>
  </si>
  <si>
    <t>IR3/OKD</t>
  </si>
  <si>
    <t>| 10G (10Xanh lá cây)</t>
  </si>
  <si>
    <t>TYH-C6010</t>
  </si>
  <si>
    <t>76N21BB</t>
  </si>
  <si>
    <t>3.50-5</t>
  </si>
  <si>
    <t>DT-059</t>
  </si>
  <si>
    <t>TYH-C6012</t>
  </si>
  <si>
    <t>76N22BB</t>
  </si>
  <si>
    <t>GC10/S</t>
  </si>
  <si>
    <t>DT-062</t>
  </si>
  <si>
    <t>| 15R10B (15Đỏ 10XDT)</t>
  </si>
  <si>
    <t>TYH-C6015</t>
  </si>
  <si>
    <t>76N23BB</t>
  </si>
  <si>
    <t>2PR</t>
  </si>
  <si>
    <t>AG</t>
  </si>
  <si>
    <t>DT-063</t>
  </si>
  <si>
    <t>TYH-C6016</t>
  </si>
  <si>
    <t>76N24BB</t>
  </si>
  <si>
    <t>WR</t>
  </si>
  <si>
    <t>DT-064</t>
  </si>
  <si>
    <t>TYH-C6017</t>
  </si>
  <si>
    <t>79N21BB</t>
  </si>
  <si>
    <t>4.00-5</t>
  </si>
  <si>
    <t>GC</t>
  </si>
  <si>
    <t>DT-065</t>
  </si>
  <si>
    <t>TYH-C6018</t>
  </si>
  <si>
    <t>76N31BB</t>
  </si>
  <si>
    <t>3.50-6</t>
  </si>
  <si>
    <t>6R</t>
  </si>
  <si>
    <t>DT-066</t>
  </si>
  <si>
    <t>TYH-C6019</t>
  </si>
  <si>
    <t>37J32BB</t>
  </si>
  <si>
    <t>130/90-6</t>
  </si>
  <si>
    <t>PZ35R</t>
  </si>
  <si>
    <t>DT-067</t>
  </si>
  <si>
    <t>TYH-C6020</t>
  </si>
  <si>
    <t>37J33BB</t>
  </si>
  <si>
    <t>SN8</t>
  </si>
  <si>
    <t>DT-068</t>
  </si>
  <si>
    <t>TYH-C6021</t>
  </si>
  <si>
    <t>79N41BB</t>
  </si>
  <si>
    <t>4.00-7</t>
  </si>
  <si>
    <t>DT-069</t>
  </si>
  <si>
    <t>TYH-C6023</t>
  </si>
  <si>
    <t>79N51BB</t>
  </si>
  <si>
    <t>4.00-8</t>
  </si>
  <si>
    <t>AG3/OKD</t>
  </si>
  <si>
    <t>DT-070</t>
  </si>
  <si>
    <t>TYH-C6024</t>
  </si>
  <si>
    <t>79N52B</t>
  </si>
  <si>
    <t>IR2</t>
  </si>
  <si>
    <t>DT-071</t>
  </si>
  <si>
    <t>| 20G (20Xanh lá cây )</t>
  </si>
  <si>
    <t>TYH-C6025</t>
  </si>
  <si>
    <t>85N61B</t>
  </si>
  <si>
    <t>5.00-9</t>
  </si>
  <si>
    <t>DT-072</t>
  </si>
  <si>
    <t>TYH-C6027</t>
  </si>
  <si>
    <t>89N61B</t>
  </si>
  <si>
    <t>6.00-9</t>
  </si>
  <si>
    <t>DT-073</t>
  </si>
  <si>
    <t>930</t>
  </si>
  <si>
    <t>970</t>
  </si>
  <si>
    <t>1000</t>
  </si>
  <si>
    <t>TYH-C6028</t>
  </si>
  <si>
    <t>72N71B</t>
  </si>
  <si>
    <t>2.50-10</t>
  </si>
  <si>
    <t>2R/G</t>
  </si>
  <si>
    <t>DT-074</t>
  </si>
  <si>
    <t>TYH-C6030</t>
  </si>
  <si>
    <t>72N72B</t>
  </si>
  <si>
    <t>CT26/G</t>
  </si>
  <si>
    <t>DT-075</t>
  </si>
  <si>
    <t>TYH-C6031</t>
  </si>
  <si>
    <t>18PD2MB</t>
  </si>
  <si>
    <t>DT-088</t>
  </si>
  <si>
    <t xml:space="preserve">15R | 20W10W (15Đỏ | 20Trắng10Trắng) </t>
  </si>
  <si>
    <t>TYTL-M1107</t>
  </si>
  <si>
    <t>34PE2MB</t>
  </si>
  <si>
    <t>DT-076</t>
  </si>
  <si>
    <t>TYTL-M1108</t>
  </si>
  <si>
    <t>07PD3MB</t>
  </si>
  <si>
    <t xml:space="preserve">15B | 20W10W (15XDT | 20Trắng 10Trắng) </t>
  </si>
  <si>
    <t>TYTL-M1109</t>
  </si>
  <si>
    <t>CR-2</t>
  </si>
  <si>
    <t>12PD5MB</t>
  </si>
  <si>
    <t xml:space="preserve">15V | 20B10B (15Tím | 20XDT 10XDT) </t>
  </si>
  <si>
    <t>TYTL-M1110</t>
  </si>
  <si>
    <t>07PEEMB</t>
  </si>
  <si>
    <t xml:space="preserve">15W | 20R10R (15Trắng | 20Đỏ 10Đỏ) </t>
  </si>
  <si>
    <t>TYTL-M1111</t>
  </si>
  <si>
    <t>CT-1</t>
  </si>
  <si>
    <t>24PE2MB</t>
  </si>
  <si>
    <t>DT-077</t>
  </si>
  <si>
    <t xml:space="preserve">15G | 20V10V (15XLC | 20Tím 10Tím) </t>
  </si>
  <si>
    <t>TYTL-M1112</t>
  </si>
  <si>
    <t>07PEFMB</t>
  </si>
  <si>
    <t>TS-122A</t>
  </si>
  <si>
    <t>TYM-M1104</t>
  </si>
  <si>
    <t>VF-6</t>
  </si>
  <si>
    <t>12PE4MB</t>
  </si>
  <si>
    <t>3Xe</t>
  </si>
  <si>
    <t>TYM-M1103</t>
  </si>
  <si>
    <t>13PB1MB</t>
  </si>
  <si>
    <t>80/80-14M/C</t>
  </si>
  <si>
    <t>15W | 15Y10Y(15Trắng | 15Vàng 10 Vàng )</t>
  </si>
  <si>
    <t>TYTL-M1121</t>
  </si>
  <si>
    <t>18PB2MB</t>
  </si>
  <si>
    <t>15G | 15Y10Y( 15XLC| 15Vàng 10Vàng)</t>
  </si>
  <si>
    <t>TYTL-M1122</t>
  </si>
  <si>
    <t>28PB1MB</t>
  </si>
  <si>
    <t>110/80-14M/C</t>
  </si>
  <si>
    <t>59</t>
  </si>
  <si>
    <t>DT-079</t>
  </si>
  <si>
    <t>15Y |15V10V( 15Vàng | 15Tím 10Tím)</t>
  </si>
  <si>
    <t>TYTL-M1123</t>
  </si>
  <si>
    <t>CT-2</t>
  </si>
  <si>
    <t>08PE1MB</t>
  </si>
  <si>
    <t>70/80-17M/C</t>
  </si>
  <si>
    <t>DT-080</t>
  </si>
  <si>
    <t>15W |15V10V( 15Trắng |15Tím 10Tím)</t>
  </si>
  <si>
    <t>TYTL-M1120</t>
  </si>
  <si>
    <t>DT-081</t>
  </si>
  <si>
    <t>| 20B 10R (20XDT 10Đỏ )</t>
  </si>
  <si>
    <t>800</t>
  </si>
  <si>
    <t>TYTL-M1113</t>
  </si>
  <si>
    <t>QF-1</t>
  </si>
  <si>
    <t>34PE3MB</t>
  </si>
  <si>
    <t>DT-082</t>
  </si>
  <si>
    <t>155 ± 5</t>
  </si>
  <si>
    <t>| 20R 10W (20Đỏ 10Trắng )</t>
  </si>
  <si>
    <t>780</t>
  </si>
  <si>
    <t>960</t>
  </si>
  <si>
    <t>TYTL-M1114</t>
  </si>
  <si>
    <t>QR-1</t>
  </si>
  <si>
    <t>13PB2TR</t>
  </si>
  <si>
    <t>DT-083</t>
  </si>
  <si>
    <t>15R10B (15Đỏ 10XDT)</t>
  </si>
  <si>
    <t>TYM-M1115</t>
  </si>
  <si>
    <t>MF-3</t>
  </si>
  <si>
    <t>24PB1TR</t>
  </si>
  <si>
    <t>100/70-14M/C</t>
  </si>
  <si>
    <t>DT-084</t>
  </si>
  <si>
    <t>130 ± 5</t>
  </si>
  <si>
    <t>15R10V (15Đỏ 10Tím)</t>
  </si>
  <si>
    <t>TYM-M1116</t>
  </si>
  <si>
    <t>MR-3</t>
  </si>
  <si>
    <t>29PB1MB</t>
  </si>
  <si>
    <t>110/70-14M/C</t>
  </si>
  <si>
    <t>DT-085</t>
  </si>
  <si>
    <t>150 ± 5</t>
  </si>
  <si>
    <t>830</t>
  </si>
  <si>
    <t>TYM-M1117</t>
  </si>
  <si>
    <t>NR-5</t>
  </si>
  <si>
    <t>28PB2TR</t>
  </si>
  <si>
    <t>SCT-005F</t>
  </si>
  <si>
    <t>DT-086</t>
  </si>
  <si>
    <t>20G (20 Xanh lá cây)</t>
  </si>
  <si>
    <t>TYTL-M1118</t>
  </si>
  <si>
    <t>KF-2</t>
  </si>
  <si>
    <t>44PB1TR</t>
  </si>
  <si>
    <t>140/70-14M/C</t>
  </si>
  <si>
    <t>62</t>
  </si>
  <si>
    <t>SCT-005R</t>
  </si>
  <si>
    <t>DT-087</t>
  </si>
  <si>
    <t>180 ± 5</t>
  </si>
  <si>
    <t>20W (20 Trắng)</t>
  </si>
  <si>
    <t>TYTL-M1119</t>
  </si>
  <si>
    <t>KR-1</t>
  </si>
  <si>
    <t>18PE3MB</t>
  </si>
  <si>
    <t>DT-089</t>
  </si>
  <si>
    <t>| 20V (20 Tím )</t>
  </si>
  <si>
    <t>TYTL-M1133</t>
  </si>
  <si>
    <t>TFV-1-5</t>
  </si>
  <si>
    <t>12PB6MB</t>
  </si>
  <si>
    <t>SCT-009</t>
  </si>
  <si>
    <t>DT-090</t>
  </si>
  <si>
    <t>70 ± 5</t>
  </si>
  <si>
    <t>PFV-7-A</t>
  </si>
  <si>
    <t>12PB6TR</t>
  </si>
  <si>
    <t>76N25BB</t>
  </si>
  <si>
    <t xml:space="preserve">4PR </t>
  </si>
  <si>
    <t>GC3/IRC</t>
  </si>
  <si>
    <t>G13</t>
  </si>
  <si>
    <t>480</t>
  </si>
  <si>
    <t>825</t>
  </si>
  <si>
    <t>TYH-C6013</t>
  </si>
  <si>
    <t>06PE1TR</t>
  </si>
  <si>
    <t>70/100-14M/C</t>
  </si>
  <si>
    <t>SN12</t>
  </si>
  <si>
    <t>DT-091</t>
  </si>
  <si>
    <t>TD-559A</t>
  </si>
  <si>
    <t>90 ± 5</t>
  </si>
  <si>
    <t xml:space="preserve"> 5 G ⁞ 5 R (5 XLC ⁞ 5 ĐỎ )</t>
  </si>
  <si>
    <t>↑SN12-559/A Month Date</t>
  </si>
  <si>
    <t>690</t>
  </si>
  <si>
    <t>TYM-M1199</t>
  </si>
  <si>
    <t>AFV-3A</t>
  </si>
  <si>
    <t>74J72TR</t>
  </si>
  <si>
    <t>3.00-10</t>
  </si>
  <si>
    <t>DT-092</t>
  </si>
  <si>
    <t>| 25V (25 TÍM )</t>
  </si>
  <si>
    <t>TYTL-M1197</t>
  </si>
  <si>
    <t>AMV-1</t>
  </si>
  <si>
    <t>27J71TR</t>
  </si>
  <si>
    <t>110/90-10</t>
  </si>
  <si>
    <t>SN22</t>
  </si>
  <si>
    <t>DT-093</t>
  </si>
  <si>
    <t xml:space="preserve"> 5 B ⁞ 40 R (5 XDT ⁞ 40 ĐỎ)</t>
  </si>
  <si>
    <t>↑SN22-559/A Month Date</t>
  </si>
  <si>
    <t>685</t>
  </si>
  <si>
    <t>TYTL-M1195</t>
  </si>
  <si>
    <t>ARV-3A</t>
  </si>
  <si>
    <t>11PB1TR</t>
  </si>
  <si>
    <t>80/100-14M/C</t>
  </si>
  <si>
    <t>DT-094</t>
  </si>
  <si>
    <t>110 ± 5</t>
  </si>
  <si>
    <t>| 25B (25 XDT)</t>
  </si>
  <si>
    <t>680</t>
  </si>
  <si>
    <t>TYM-M1200</t>
  </si>
  <si>
    <t>76N51AR</t>
  </si>
  <si>
    <t>ID-3508</t>
  </si>
  <si>
    <t>ANSAKU</t>
  </si>
  <si>
    <t>DT-095</t>
  </si>
  <si>
    <t>TD-657A</t>
  </si>
  <si>
    <t xml:space="preserve"> 10 Y ⁞ 20 G (10 VÀNG ⁞ 20 XLC)</t>
  </si>
  <si>
    <t>↑ANSKU-657/A Month Date</t>
  </si>
  <si>
    <t>EMV-1</t>
  </si>
  <si>
    <t>17PB3TR</t>
  </si>
  <si>
    <t>17PB6MB</t>
  </si>
  <si>
    <t xml:space="preserve">SS-560F </t>
  </si>
  <si>
    <t>22J71TR</t>
  </si>
  <si>
    <t>17J91TR</t>
  </si>
  <si>
    <t>16J71TR</t>
  </si>
  <si>
    <t>16J72TR</t>
  </si>
  <si>
    <t>39L51AR</t>
  </si>
  <si>
    <t>130/70-8</t>
  </si>
  <si>
    <t>PZ-35R</t>
  </si>
  <si>
    <t>DT-096</t>
  </si>
  <si>
    <t>TH-601A</t>
  </si>
  <si>
    <t>| 5V 10V (5 TÍM  10 TÍM)</t>
  </si>
  <si>
    <t>↑PZ35R-601/A Month Date</t>
  </si>
  <si>
    <t>790</t>
  </si>
  <si>
    <t>1020</t>
  </si>
  <si>
    <t>TYTL-M1210</t>
  </si>
  <si>
    <t>HRV-1C</t>
  </si>
  <si>
    <t>22PB2TB</t>
  </si>
  <si>
    <t>12PD4TR</t>
  </si>
  <si>
    <t>28J71TR</t>
  </si>
  <si>
    <t>110/80-10</t>
  </si>
  <si>
    <t>DT-</t>
  </si>
  <si>
    <t>135 ± 5</t>
  </si>
  <si>
    <t>ARV-5</t>
  </si>
  <si>
    <t>39L52AR</t>
  </si>
  <si>
    <t>TS-674A-2AV</t>
  </si>
  <si>
    <t>Chiều rộng mặt lốp</t>
  </si>
  <si>
    <t>Đỉnh Extruder tốc độ</t>
  </si>
  <si>
    <t>Đáy Extruder tốc độ</t>
  </si>
  <si>
    <t>71LE1M</t>
  </si>
  <si>
    <t>71LE3M</t>
  </si>
  <si>
    <t>71LE5M</t>
  </si>
  <si>
    <t>72LE1M</t>
  </si>
  <si>
    <t>72LE2M</t>
  </si>
  <si>
    <t>72LE3M</t>
  </si>
  <si>
    <t>72LE4M</t>
  </si>
  <si>
    <t>72LE5M</t>
  </si>
  <si>
    <t>72LE6M</t>
  </si>
  <si>
    <t>72LE8M</t>
  </si>
  <si>
    <t>72LE9M</t>
  </si>
  <si>
    <t>72LEAM</t>
  </si>
  <si>
    <t>72LEBM</t>
  </si>
  <si>
    <t>73PE2M</t>
  </si>
  <si>
    <t>73PE3M</t>
  </si>
  <si>
    <t>73PE4M</t>
  </si>
  <si>
    <t>73PE5M</t>
  </si>
  <si>
    <t>16J71M</t>
  </si>
  <si>
    <t>16J72M</t>
  </si>
  <si>
    <t>16J73M</t>
  </si>
  <si>
    <t>22J71M</t>
  </si>
  <si>
    <t>22J72M</t>
  </si>
  <si>
    <t>22J72T</t>
  </si>
  <si>
    <t>34L71M</t>
  </si>
  <si>
    <t>29L81M</t>
  </si>
  <si>
    <t>17J91M</t>
  </si>
  <si>
    <t>17J92M</t>
  </si>
  <si>
    <t>07PB1M</t>
  </si>
  <si>
    <t>12PB1M</t>
  </si>
  <si>
    <t>12PB2M</t>
  </si>
  <si>
    <t>12PB3M</t>
  </si>
  <si>
    <t>12PB4M</t>
  </si>
  <si>
    <t>12PB5T</t>
  </si>
  <si>
    <t>18PB1M</t>
  </si>
  <si>
    <t>17PB1M</t>
  </si>
  <si>
    <t>17PB2M</t>
  </si>
  <si>
    <t>17PB3M</t>
  </si>
  <si>
    <t>17PB4B</t>
  </si>
  <si>
    <t>17PB5T</t>
  </si>
  <si>
    <t>17PB6T</t>
  </si>
  <si>
    <t>23JB1M</t>
  </si>
  <si>
    <t>22PB1T</t>
  </si>
  <si>
    <t>22PB2T</t>
  </si>
  <si>
    <t>22PB3T</t>
  </si>
  <si>
    <t>12JC1M</t>
  </si>
  <si>
    <t>13PD1M</t>
  </si>
  <si>
    <t>18PD1M</t>
  </si>
  <si>
    <t>07PD1M</t>
  </si>
  <si>
    <t>07PD2M</t>
  </si>
  <si>
    <t>12PD1M</t>
  </si>
  <si>
    <t>12PD2M</t>
  </si>
  <si>
    <t>12PD2T</t>
  </si>
  <si>
    <t>12PD3M</t>
  </si>
  <si>
    <t>12PD4M</t>
  </si>
  <si>
    <t>23PD1T</t>
  </si>
  <si>
    <t>33PD1T</t>
  </si>
  <si>
    <t>03PE1M</t>
  </si>
  <si>
    <t>07PE1M</t>
  </si>
  <si>
    <t>07PE3M</t>
  </si>
  <si>
    <t>07PE4M</t>
  </si>
  <si>
    <t>07PE6M</t>
  </si>
  <si>
    <t>07PE8M</t>
  </si>
  <si>
    <t>07PEAM</t>
  </si>
  <si>
    <t>07PEBM</t>
  </si>
  <si>
    <t>07PECM</t>
  </si>
  <si>
    <t>07PEMM</t>
  </si>
  <si>
    <t>06PE1M</t>
  </si>
  <si>
    <t>13PE1M</t>
  </si>
  <si>
    <t>18PE1M</t>
  </si>
  <si>
    <t>12PE1M</t>
  </si>
  <si>
    <t>12PE3M</t>
  </si>
  <si>
    <t>12PEJM</t>
  </si>
  <si>
    <t>12PE5M</t>
  </si>
  <si>
    <t>12PE6M</t>
  </si>
  <si>
    <t>12PE7M</t>
  </si>
  <si>
    <t>12PE9M</t>
  </si>
  <si>
    <t>12PEAM</t>
  </si>
  <si>
    <t>12PEBM</t>
  </si>
  <si>
    <t>24PE1M</t>
  </si>
  <si>
    <t>34PE1M</t>
  </si>
  <si>
    <t>72N11B</t>
  </si>
  <si>
    <t>72N12B</t>
  </si>
  <si>
    <t>72N13B</t>
  </si>
  <si>
    <t>72N14B</t>
  </si>
  <si>
    <t>72N15B</t>
  </si>
  <si>
    <t>74N11B</t>
  </si>
  <si>
    <t>76N21B</t>
  </si>
  <si>
    <t>76N22B</t>
  </si>
  <si>
    <t>76N23B</t>
  </si>
  <si>
    <t>76N24B</t>
  </si>
  <si>
    <t>79N21B</t>
  </si>
  <si>
    <t>76N31B</t>
  </si>
  <si>
    <t>37J32B</t>
  </si>
  <si>
    <t>37J33B</t>
  </si>
  <si>
    <t>79N41B</t>
  </si>
  <si>
    <t>79N51B</t>
  </si>
  <si>
    <t>18PD2M</t>
  </si>
  <si>
    <t>34PE2M</t>
  </si>
  <si>
    <t>07PD3M</t>
  </si>
  <si>
    <t>12PD5M</t>
  </si>
  <si>
    <t>07PEEM</t>
  </si>
  <si>
    <t>24PE2M</t>
  </si>
  <si>
    <t>07PEFM</t>
  </si>
  <si>
    <t>12PE4M</t>
  </si>
  <si>
    <t>13PB1M</t>
  </si>
  <si>
    <t>18PB2M</t>
  </si>
  <si>
    <t>28PB1M</t>
  </si>
  <si>
    <t>08PE1M</t>
  </si>
  <si>
    <t>34PE3M</t>
  </si>
  <si>
    <t>13PB2T</t>
  </si>
  <si>
    <t>24PB1T</t>
  </si>
  <si>
    <t>29PB1M</t>
  </si>
  <si>
    <t>28PB2T</t>
  </si>
  <si>
    <t>44PB1T</t>
  </si>
  <si>
    <t>18PE3M</t>
  </si>
  <si>
    <t>12PB6M</t>
  </si>
  <si>
    <t>12PB6T</t>
  </si>
  <si>
    <t>76N25B</t>
  </si>
  <si>
    <t>06PE1T</t>
  </si>
  <si>
    <t>74J72T</t>
  </si>
  <si>
    <t>27J71T</t>
  </si>
  <si>
    <t>11PB1T</t>
  </si>
  <si>
    <t>76N51A</t>
  </si>
  <si>
    <t>17PB3T</t>
  </si>
  <si>
    <t>17PB6M</t>
  </si>
  <si>
    <t>22J71T</t>
  </si>
  <si>
    <t>17J91T</t>
  </si>
  <si>
    <t>16J71T</t>
  </si>
  <si>
    <t>16J72T</t>
  </si>
  <si>
    <t>39L51A</t>
  </si>
  <si>
    <t>12PD4T</t>
  </si>
  <si>
    <t>28J71T</t>
  </si>
  <si>
    <t>39L52A</t>
  </si>
  <si>
    <r>
      <t>↑</t>
    </r>
    <r>
      <rPr>
        <sz val="14"/>
        <color theme="1"/>
        <rFont val="Verdana"/>
        <family val="2"/>
        <charset val="163"/>
      </rPr>
      <t>MB48-674/-</t>
    </r>
    <r>
      <rPr>
        <b/>
        <sz val="14"/>
        <color theme="1"/>
        <rFont val="MS Mincho"/>
        <family val="3"/>
      </rPr>
      <t xml:space="preserve"> Month Date</t>
    </r>
  </si>
  <si>
    <r>
      <t>↑</t>
    </r>
    <r>
      <rPr>
        <sz val="14"/>
        <color theme="1"/>
        <rFont val="Verdana"/>
        <family val="2"/>
        <charset val="163"/>
      </rPr>
      <t>NR87-601/-</t>
    </r>
    <r>
      <rPr>
        <b/>
        <sz val="14"/>
        <color theme="1"/>
        <rFont val="MS Mincho"/>
        <family val="3"/>
      </rPr>
      <t xml:space="preserve"> Month Date</t>
    </r>
  </si>
  <si>
    <r>
      <t>|</t>
    </r>
    <r>
      <rPr>
        <sz val="14"/>
        <color theme="1"/>
        <rFont val="Times New Roman"/>
        <family val="1"/>
      </rPr>
      <t>20R10Y (20Đỏ 10Vàng)</t>
    </r>
  </si>
  <si>
    <r>
      <t>↑SCT002</t>
    </r>
    <r>
      <rPr>
        <sz val="14"/>
        <color theme="1"/>
        <rFont val="Verdana"/>
        <family val="2"/>
        <charset val="163"/>
      </rPr>
      <t>-674/-</t>
    </r>
    <r>
      <rPr>
        <b/>
        <sz val="14"/>
        <color theme="1"/>
        <rFont val="MS Mincho"/>
        <family val="3"/>
      </rPr>
      <t xml:space="preserve"> Month Date</t>
    </r>
  </si>
  <si>
    <r>
      <t xml:space="preserve">0.3 </t>
    </r>
    <r>
      <rPr>
        <sz val="14"/>
        <color theme="1"/>
        <rFont val="Calibri"/>
        <family val="2"/>
        <charset val="163"/>
      </rPr>
      <t xml:space="preserve">± </t>
    </r>
    <r>
      <rPr>
        <sz val="14"/>
        <color theme="1"/>
        <rFont val="Times New Roman"/>
        <family val="1"/>
        <charset val="163"/>
      </rPr>
      <t>0.05</t>
    </r>
  </si>
  <si>
    <r>
      <t xml:space="preserve">100 </t>
    </r>
    <r>
      <rPr>
        <sz val="14"/>
        <color theme="1"/>
        <rFont val="Calibri"/>
        <family val="2"/>
        <charset val="163"/>
      </rPr>
      <t xml:space="preserve">± </t>
    </r>
    <r>
      <rPr>
        <sz val="14"/>
        <color theme="1"/>
        <rFont val="Times New Roman"/>
        <family val="1"/>
        <charset val="163"/>
      </rPr>
      <t xml:space="preserve">5 </t>
    </r>
  </si>
  <si>
    <r>
      <t xml:space="preserve">10V | 15R (10Tím </t>
    </r>
    <r>
      <rPr>
        <sz val="14"/>
        <color theme="1"/>
        <rFont val="Calibri"/>
        <family val="2"/>
        <charset val="163"/>
      </rPr>
      <t>ꞁ</t>
    </r>
    <r>
      <rPr>
        <sz val="14"/>
        <color theme="1"/>
        <rFont val="Times New Roman"/>
        <family val="1"/>
        <charset val="163"/>
      </rPr>
      <t xml:space="preserve"> 15Đỏ) </t>
    </r>
  </si>
  <si>
    <r>
      <t>|</t>
    </r>
    <r>
      <rPr>
        <sz val="14"/>
        <color theme="1"/>
        <rFont val="Times New Roman"/>
        <family val="1"/>
      </rPr>
      <t xml:space="preserve"> 20V10Y (20Tím 10Vàng)</t>
    </r>
  </si>
  <si>
    <r>
      <t>|</t>
    </r>
    <r>
      <rPr>
        <sz val="14"/>
        <color theme="1"/>
        <rFont val="Times New Roman"/>
        <family val="1"/>
      </rPr>
      <t xml:space="preserve"> 20V10W (20Tím 10 Trắng)</t>
    </r>
  </si>
  <si>
    <r>
      <t xml:space="preserve"> 15 R </t>
    </r>
    <r>
      <rPr>
        <sz val="14"/>
        <color theme="1"/>
        <rFont val="Times New Roman"/>
        <family val="1"/>
      </rPr>
      <t>⁞</t>
    </r>
    <r>
      <rPr>
        <sz val="14"/>
        <color theme="1"/>
        <rFont val="Times New Roman"/>
        <family val="1"/>
        <charset val="163"/>
      </rPr>
      <t xml:space="preserve"> 30 Y (15 ĐỎ </t>
    </r>
    <r>
      <rPr>
        <sz val="14"/>
        <color theme="1"/>
        <rFont val="Times New Roman"/>
        <family val="1"/>
      </rPr>
      <t>⁞</t>
    </r>
    <r>
      <rPr>
        <sz val="14"/>
        <color theme="1"/>
        <rFont val="Times New Roman"/>
        <family val="1"/>
        <charset val="163"/>
      </rPr>
      <t xml:space="preserve"> 30 VÀNG)</t>
    </r>
  </si>
  <si>
    <r>
      <t xml:space="preserve">0.5 </t>
    </r>
    <r>
      <rPr>
        <sz val="14"/>
        <color theme="1"/>
        <rFont val="Calibri"/>
        <family val="2"/>
        <charset val="163"/>
      </rPr>
      <t xml:space="preserve">± </t>
    </r>
    <r>
      <rPr>
        <sz val="14"/>
        <color theme="1"/>
        <rFont val="Times New Roman"/>
        <family val="1"/>
        <charset val="163"/>
      </rPr>
      <t>0.05</t>
    </r>
  </si>
  <si>
    <r>
      <t xml:space="preserve">0.6 </t>
    </r>
    <r>
      <rPr>
        <sz val="14"/>
        <color theme="1"/>
        <rFont val="Calibri"/>
        <family val="2"/>
        <charset val="163"/>
      </rPr>
      <t xml:space="preserve">± </t>
    </r>
    <r>
      <rPr>
        <sz val="14"/>
        <color theme="1"/>
        <rFont val="Times New Roman"/>
        <family val="1"/>
        <charset val="163"/>
      </rPr>
      <t>0.05</t>
    </r>
  </si>
  <si>
    <r>
      <t xml:space="preserve">Tốc độ máy roll TUC
</t>
    </r>
    <r>
      <rPr>
        <sz val="14"/>
        <color rgb="FFFF0000"/>
        <rFont val="Times New Roman"/>
        <family val="1"/>
      </rPr>
      <t>(Không có dữ liệu)</t>
    </r>
  </si>
  <si>
    <r>
      <t xml:space="preserve">Điều chỉnh đầu ép TUC
</t>
    </r>
    <r>
      <rPr>
        <sz val="14"/>
        <color rgb="FFFF0000"/>
        <rFont val="Times New Roman"/>
        <family val="1"/>
      </rPr>
      <t>(Không có dữ liệu)</t>
    </r>
  </si>
  <si>
    <r>
      <t xml:space="preserve">Điều chỉnh băng tải TUC
</t>
    </r>
    <r>
      <rPr>
        <sz val="14"/>
        <color rgb="FFFF0000"/>
        <rFont val="Times New Roman"/>
        <family val="1"/>
      </rPr>
      <t>(Không có dữ liệu)</t>
    </r>
  </si>
  <si>
    <r>
      <t xml:space="preserve">Thiết lập con lăn đầu tiên
1ST roller speed set (m/min)
</t>
    </r>
    <r>
      <rPr>
        <sz val="14"/>
        <color rgb="FFFF0000"/>
        <rFont val="Times New Roman"/>
        <family val="1"/>
      </rPr>
      <t>(Không có dữ liệu)</t>
    </r>
  </si>
  <si>
    <t>Trọng lượng mặt lốp cuộn Roll 
押出重量</t>
  </si>
  <si>
    <t>Trọng lượng mặt lốp không cuộn roll</t>
  </si>
  <si>
    <t>ext_code</t>
  </si>
  <si>
    <t>tire_name</t>
  </si>
  <si>
    <t>ext_type</t>
  </si>
  <si>
    <t>mold_number</t>
  </si>
  <si>
    <t>rubber_upper</t>
  </si>
  <si>
    <t>rubber_lower</t>
  </si>
  <si>
    <t>length</t>
  </si>
  <si>
    <t>height</t>
  </si>
  <si>
    <t>weight</t>
  </si>
  <si>
    <t>upper_screw_speed</t>
  </si>
  <si>
    <t>lower_screw_speed</t>
  </si>
  <si>
    <t>roller_speed_1st</t>
  </si>
  <si>
    <t>roll_tuc_speed</t>
  </si>
  <si>
    <t>conveyor_roller</t>
  </si>
  <si>
    <t>conveyor_slope</t>
  </si>
  <si>
    <t>roller_conveyor_belt</t>
  </si>
  <si>
    <t>cooling_conveyor_belt</t>
  </si>
  <si>
    <t>tuc_roller</t>
  </si>
  <si>
    <t>tuc_press_head</t>
  </si>
  <si>
    <t>tuc_conveyor_belts</t>
  </si>
  <si>
    <t>weight_auto</t>
  </si>
  <si>
    <t>rubber_mattress</t>
  </si>
  <si>
    <t>height_mattress</t>
  </si>
  <si>
    <t>thick_mattress</t>
  </si>
  <si>
    <t>weight_mattress</t>
  </si>
  <si>
    <t>weight_with_tuc</t>
  </si>
  <si>
    <t>pcs_spec</t>
  </si>
  <si>
    <t>color</t>
  </si>
  <si>
    <t>engraving</t>
  </si>
  <si>
    <t>irv_code</t>
  </si>
  <si>
    <t>spec_number</t>
  </si>
  <si>
    <t>2.25-17 33L 4PR NF3</t>
  </si>
  <si>
    <t>2.25-17 33L 4PR NF26</t>
  </si>
  <si>
    <t>2.50-17 38L 4PR NR6</t>
  </si>
  <si>
    <t>2.50-17 43L 6PR NR6</t>
  </si>
  <si>
    <t>2.50-17 38L 4PR NR30</t>
  </si>
  <si>
    <t>2.50-17 43L 6PR NR30</t>
  </si>
  <si>
    <t>2.50-17 38L 4PR NF47</t>
  </si>
  <si>
    <t>2.50-17 38L 4PR NR53</t>
  </si>
  <si>
    <t>2.75-17 41P 4PR NR53</t>
  </si>
  <si>
    <t>2.75-17 41P 4PR NR60</t>
  </si>
  <si>
    <t>2.00-4 -- 4PR IR/G</t>
  </si>
  <si>
    <t>2.50-4 -- 4PR GC/S</t>
  </si>
  <si>
    <t>2.50-4 -- 4PR IR</t>
  </si>
  <si>
    <t>2.50-4 -- 4PR IR/OKD</t>
  </si>
  <si>
    <t>2.50-4 -- 4PR CT22/G</t>
  </si>
  <si>
    <t>2.50-4 -- 4PR CT25/G</t>
  </si>
  <si>
    <t>3.00-4 -- 4PR IR3</t>
  </si>
  <si>
    <t>3.00-4 -- 4PR IR3/OKD</t>
  </si>
  <si>
    <t>3.50-5 -- 4PR IR3</t>
  </si>
  <si>
    <t>3.50-5 -- 4PR GC10/S</t>
  </si>
  <si>
    <t>3.50-5 -- 2PR AG</t>
  </si>
  <si>
    <t>3.50-5 -- 6PR WR</t>
  </si>
  <si>
    <t>4.00-5 -- 4PR GC</t>
  </si>
  <si>
    <t>3.50-6 -- 2PR 6R</t>
  </si>
  <si>
    <t>4.00-7 -- 2PR AG</t>
  </si>
  <si>
    <t>4.00-8 -- 4PR AG3/OKD</t>
  </si>
  <si>
    <t>4.00-8 -- 4PR IR2</t>
  </si>
  <si>
    <t>5.00-9 -- 6PR IR</t>
  </si>
  <si>
    <t>6.00-9 -- 6PR IR</t>
  </si>
  <si>
    <t>2.50-10 -- 4PR 2R/G</t>
  </si>
  <si>
    <t>2.50-10 -- 4PR CT26/G</t>
  </si>
  <si>
    <t>3.50-5 -- 4PR GC3/IRC</t>
  </si>
  <si>
    <t>70/90-14M/C 34P NF59</t>
  </si>
  <si>
    <t>80/90-14M/C 40P NR73Tz</t>
  </si>
  <si>
    <t>80/90-14M/C 40P NR76</t>
  </si>
  <si>
    <t>90/80-14M/C 49P NR76A</t>
  </si>
  <si>
    <t>90/90-14M/C 46P NR73T</t>
  </si>
  <si>
    <t>70/90-16M/C 36P NF59A</t>
  </si>
  <si>
    <t>80/90-16M/C 43P NR76A</t>
  </si>
  <si>
    <t>80/90-16M/C 43P NR76</t>
  </si>
  <si>
    <t>60/100-17M/C 33P NF55</t>
  </si>
  <si>
    <t>70/90-17M/C 43P NF55</t>
  </si>
  <si>
    <t>70/90-17M/C 38P NF63B</t>
  </si>
  <si>
    <t>70/90-17M/C 38P NR53</t>
  </si>
  <si>
    <t>70/90-17M/C 38P NR69</t>
  </si>
  <si>
    <t>70/90-17M/C 38P NR87</t>
  </si>
  <si>
    <t>70/100-17M/C 40P NR69</t>
  </si>
  <si>
    <t>80/90-17M/C 44P NR53</t>
  </si>
  <si>
    <t>80/90-17M/C 50P NR53</t>
  </si>
  <si>
    <t>80/90-17M/C 50P NR69</t>
  </si>
  <si>
    <t>80/90-17M/C 44P NR78Y</t>
  </si>
  <si>
    <t>130/90-6 53J PZ35R</t>
  </si>
  <si>
    <t>130/90-6 53J SN8</t>
  </si>
  <si>
    <t>80/80-14M/C 43P NR82</t>
  </si>
  <si>
    <t>100/70-14M/C 51P NR82</t>
  </si>
  <si>
    <t>110/70-14M/C 56P NR82</t>
  </si>
  <si>
    <t>70/100-14M/C 37P SN12</t>
  </si>
  <si>
    <t>80/100-14M/C 49P SN12</t>
  </si>
  <si>
    <t>ID-3508 -- ANSAKU</t>
  </si>
  <si>
    <t>90/100-10 53J MB47/TL</t>
  </si>
  <si>
    <t>90/100-10 53J MB48/TL</t>
  </si>
  <si>
    <t>90/100-10 53J MB520/TL</t>
  </si>
  <si>
    <t>100/90-10 56J MB48/TL</t>
  </si>
  <si>
    <t>100/90-10 56J MB520Z/TL</t>
  </si>
  <si>
    <t>120/70-10 54L SCT-002/TL</t>
  </si>
  <si>
    <t>90/90-12 44J MB48/TL</t>
  </si>
  <si>
    <t>90/90-12 44J MB520Z/TL</t>
  </si>
  <si>
    <t>80/90-14M/C 40P NF66/TL</t>
  </si>
  <si>
    <t>80/90-14M/C 40P NR87/TL</t>
  </si>
  <si>
    <t>90/90-14M/C 46P NR83/TL</t>
  </si>
  <si>
    <t>90/90-14M/C 46P NR87/TL</t>
  </si>
  <si>
    <t>90/90-14M/C 46P SS-560F/TL</t>
  </si>
  <si>
    <t>100/80-14M/C 54J SCT-002/TL</t>
  </si>
  <si>
    <t>100/90-14M/C 57P SS-560R/TL</t>
  </si>
  <si>
    <t>80/90-15M/C 47J SCT-002/TL</t>
  </si>
  <si>
    <t>80/80-16M/C 40P WF-930RS/TL</t>
  </si>
  <si>
    <t>90/80-16M/C 45P WF-930RS/TL</t>
  </si>
  <si>
    <t>70/90-16M/C 36P NF59/TL</t>
  </si>
  <si>
    <t>80/90-16M/C 48P NR76/TL</t>
  </si>
  <si>
    <t>80/90-16M/C 43P SS-560F/TL</t>
  </si>
  <si>
    <t>100/80-16M/C 50P SS-530F/TL</t>
  </si>
  <si>
    <t>120/80-16M/C 60P SS-530R/TL</t>
  </si>
  <si>
    <t>70/90-17M/C 38P NF67/TL</t>
  </si>
  <si>
    <t>70/90-17M/C 38P NR82/TL</t>
  </si>
  <si>
    <t>80/80-17M/C 41P WF-930RS/TL</t>
  </si>
  <si>
    <t>80/90-17M/C 44P NR82/TL</t>
  </si>
  <si>
    <t>80/90-17M/C 50P NR87/TL</t>
  </si>
  <si>
    <t>100/70-17M/C 49P NR82/TL</t>
  </si>
  <si>
    <t>120/70-17M/C 58P NF67/TL</t>
  </si>
  <si>
    <t>90/80-16M/C 45P NR87/TL</t>
  </si>
  <si>
    <t>120/70-17M/C 58P NR87/TL</t>
  </si>
  <si>
    <t>70/90-16M/C 36P NR87/TL</t>
  </si>
  <si>
    <t>80/90-16M/C 48P NR87/TL</t>
  </si>
  <si>
    <t>70/90-17M/C 38P NR87/TL</t>
  </si>
  <si>
    <t>100/70-17M/C 49P NR87/TL</t>
  </si>
  <si>
    <t>80/80-14M/C 43P WF-930RS/TL</t>
  </si>
  <si>
    <t>90/80-14M/C 49P WF-930RS/TL</t>
  </si>
  <si>
    <t>110/80-14M/C 59P WF-930RS/TL</t>
  </si>
  <si>
    <t>70/80-17M/C 35P WF-930RS/TL</t>
  </si>
  <si>
    <t>90/80-17M/C 46P NF66/TL</t>
  </si>
  <si>
    <t>120/70-17M/C 58P NR83/TL</t>
  </si>
  <si>
    <t>110/80-14M/C 53P SCT-005F/TL</t>
  </si>
  <si>
    <t>140/70-14M/C 62P SCT-005R/TL</t>
  </si>
  <si>
    <t>90/80-17M/C 46P NF67/TL</t>
  </si>
  <si>
    <t>80/90-14M/C 40P SCT-009/TL</t>
  </si>
  <si>
    <t>3.00-10 42J SN12/TL</t>
  </si>
  <si>
    <t>110/90-10 62J SN22/TL</t>
  </si>
  <si>
    <t>130/70-8 42L PZ-35R/TL</t>
  </si>
  <si>
    <t>110/80-10 58J SN22/TL</t>
  </si>
  <si>
    <t>130/70-8 48L SN22/TL</t>
  </si>
  <si>
    <t>2.25-17 33L 4PR NF26D</t>
  </si>
  <si>
    <t>2.50-17 38L 4PR NR30D</t>
  </si>
  <si>
    <t>110/70-11 45L SCT-002/TL</t>
  </si>
  <si>
    <t>100/90-14M/C 51P SS-560RE/TL</t>
  </si>
  <si>
    <t>100/90-14M/C 57P SS-560RD/TL</t>
  </si>
  <si>
    <t>70/90-17M/C 38P NF63BD</t>
  </si>
  <si>
    <t>70/90-17M/C 38P NR53D</t>
  </si>
  <si>
    <t>80/90-17M/C 44P NR53D</t>
  </si>
  <si>
    <t>80/90-17M/C 50P NR69D</t>
  </si>
  <si>
    <t>80/90-17M/C 44P NR78YD</t>
  </si>
  <si>
    <t>↑NR87-601/- Month Date</t>
  </si>
  <si>
    <t>↑SCT002-674/- Month Date</t>
  </si>
  <si>
    <t xml:space="preserve">100 ± 5 </t>
  </si>
  <si>
    <t>0.3 ± 0.05</t>
  </si>
  <si>
    <t>0.5 ± 0.05</t>
  </si>
  <si>
    <t>0.6 ± 0.05</t>
  </si>
  <si>
    <t>15W10G</t>
  </si>
  <si>
    <t>15W10W</t>
  </si>
  <si>
    <t>15B</t>
  </si>
  <si>
    <t>15R</t>
  </si>
  <si>
    <t>10V15Y</t>
  </si>
  <si>
    <t>15W10R</t>
  </si>
  <si>
    <t>20G10Y</t>
  </si>
  <si>
    <t>10B15W</t>
  </si>
  <si>
    <t>15G10V</t>
  </si>
  <si>
    <t>15B10G</t>
  </si>
  <si>
    <t>10R10R</t>
  </si>
  <si>
    <t>10R10G</t>
  </si>
  <si>
    <t>15W</t>
  </si>
  <si>
    <t>10V15W</t>
  </si>
  <si>
    <t>10B15Y</t>
  </si>
  <si>
    <t>15G</t>
  </si>
  <si>
    <t>10W15W</t>
  </si>
  <si>
    <t>20R10R</t>
  </si>
  <si>
    <t>20V</t>
  </si>
  <si>
    <t>20B10B</t>
  </si>
  <si>
    <t>25B</t>
  </si>
  <si>
    <t>25W</t>
  </si>
  <si>
    <t>10Y10W</t>
  </si>
  <si>
    <t>10R15B10B</t>
  </si>
  <si>
    <t>15B10R</t>
  </si>
  <si>
    <t>25R</t>
  </si>
  <si>
    <t>15R10R</t>
  </si>
  <si>
    <t>15Y</t>
  </si>
  <si>
    <t>10W15B10B</t>
  </si>
  <si>
    <t>15G10Y</t>
  </si>
  <si>
    <t>20R10Y</t>
  </si>
  <si>
    <t>15B10B</t>
  </si>
  <si>
    <t>15Y10Y</t>
  </si>
  <si>
    <t>15R10W</t>
  </si>
  <si>
    <t>20G10G</t>
  </si>
  <si>
    <t>10W25R</t>
  </si>
  <si>
    <t>20R</t>
  </si>
  <si>
    <t>10R</t>
  </si>
  <si>
    <t>18R5V</t>
  </si>
  <si>
    <t>10V15R</t>
  </si>
  <si>
    <t>25G</t>
  </si>
  <si>
    <t>10R10B</t>
  </si>
  <si>
    <t>22Y</t>
  </si>
  <si>
    <t>10G15R10R</t>
  </si>
  <si>
    <t>15B10V</t>
  </si>
  <si>
    <t>10V10V</t>
  </si>
  <si>
    <t>15W10B</t>
  </si>
  <si>
    <t>10G10W</t>
  </si>
  <si>
    <t>10R10Y</t>
  </si>
  <si>
    <t>15Y10B</t>
  </si>
  <si>
    <t>22.5W15Y</t>
  </si>
  <si>
    <t>10B15B</t>
  </si>
  <si>
    <t>20G10R</t>
  </si>
  <si>
    <t>10W10W</t>
  </si>
  <si>
    <t>15Y10G</t>
  </si>
  <si>
    <t>10R15Y10Y</t>
  </si>
  <si>
    <t>15Y10V</t>
  </si>
  <si>
    <t>10W</t>
  </si>
  <si>
    <t>10G</t>
  </si>
  <si>
    <t>15R10B</t>
  </si>
  <si>
    <t>20G</t>
  </si>
  <si>
    <t>15R20W10W</t>
  </si>
  <si>
    <t>15B20W10W</t>
  </si>
  <si>
    <t>15V20B10B</t>
  </si>
  <si>
    <t>15W20R10R</t>
  </si>
  <si>
    <t>15G20V10V</t>
  </si>
  <si>
    <t>20V10Y</t>
  </si>
  <si>
    <t>20V10W</t>
  </si>
  <si>
    <t>15W15Y10Y</t>
  </si>
  <si>
    <t>15G15Y10Y</t>
  </si>
  <si>
    <t>15Y15V10V</t>
  </si>
  <si>
    <t>15W15V10V</t>
  </si>
  <si>
    <t>20B10R</t>
  </si>
  <si>
    <t>20R10W</t>
  </si>
  <si>
    <t>15R10V</t>
  </si>
  <si>
    <t>20W</t>
  </si>
  <si>
    <t>15R30Y</t>
  </si>
  <si>
    <t>5G5R</t>
  </si>
  <si>
    <t>25V</t>
  </si>
  <si>
    <t>5B40R</t>
  </si>
  <si>
    <t>10Y20G</t>
  </si>
  <si>
    <t>5V10V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</si>
</sst>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64" formatCode="0.0"/>
    <numFmt numFmtId="165" formatCode="0;[Red]0"/>
    <numFmt numFmtId="166" formatCode="0_ "/>
    <numFmt numFmtId="167" formatCode="0.0_ "/>
  </numFmts>
  <fonts count="20">
    <font>
      <sz val="10"/>
      <name val="Arial"/>
    </font>
    <font>
      <sz val="11"/>
      <color indexed="8"/>
      <name val="ＭＳ Ｐゴシック"/>
      <family val="3"/>
      <charset val="128"/>
    </font>
    <font>
      <sz val="10"/>
      <name val="Arial"/>
      <family val="2"/>
    </font>
    <font>
      <sz val="12"/>
      <name val=".VnTime"/>
      <family val="2"/>
    </font>
    <font>
      <b/>
      <sz val="9"/>
      <color indexed="81"/>
      <name val="Tahoma"/>
      <family val="2"/>
      <charset val="163"/>
    </font>
    <font>
      <sz val="9"/>
      <color indexed="81"/>
      <name val="Tahoma"/>
      <family val="2"/>
      <charset val="16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Arial"/>
      <family val="2"/>
    </font>
    <font>
      <sz val="14"/>
      <color theme="1"/>
      <name val="Times New Roman"/>
      <family val="1"/>
    </font>
    <font>
      <sz val="14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  <charset val="163"/>
    </font>
    <font>
      <sz val="14"/>
      <color theme="1"/>
      <name val="Verdana"/>
      <family val="2"/>
      <charset val="163"/>
    </font>
    <font>
      <sz val="14"/>
      <name val="Arial"/>
      <family val="2"/>
    </font>
    <font>
      <sz val="14"/>
      <color theme="1"/>
      <name val="Cambria"/>
      <family val="1"/>
    </font>
    <font>
      <b/>
      <sz val="14"/>
      <color theme="1"/>
      <name val="MS Mincho"/>
      <family val="3"/>
    </font>
    <font>
      <sz val="14"/>
      <color theme="1"/>
      <name val=".VnArial"/>
      <family val="2"/>
    </font>
    <font>
      <sz val="14"/>
      <color theme="1"/>
      <name val="Calibri"/>
      <family val="2"/>
      <charset val="163"/>
    </font>
    <font>
      <sz val="14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2" fillId="0" borderId="0"/>
    <xf numFmtId="0" fontId="3" fillId="0" borderId="0"/>
    <xf numFmtId="0" fontId="3" fillId="0" borderId="0"/>
    <xf numFmtId="0" fontId="1" fillId="0" borderId="0">
      <alignment vertical="center"/>
    </xf>
    <xf numFmtId="0" fontId="2" fillId="0" borderId="0"/>
  </cellStyleXfs>
  <cellXfs count="84">
    <xf numFmtId="0" fontId="0" fillId="0" borderId="0" xfId="0"/>
    <xf numFmtId="0" fontId="9" fillId="3" borderId="0" xfId="1" applyFont="1" applyFill="1" applyAlignment="1">
      <alignment horizontal="center"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2" borderId="1" xfId="5" applyFont="1" applyFill="1" applyBorder="1" applyAlignment="1">
      <alignment horizontal="center" vertical="center" wrapText="1"/>
    </xf>
    <xf numFmtId="0" fontId="9" fillId="2" borderId="1" xfId="1" applyFont="1" applyFill="1" applyBorder="1" applyAlignment="1">
      <alignment horizontal="center" vertical="center" wrapText="1"/>
    </xf>
    <xf numFmtId="0" fontId="9" fillId="3" borderId="1" xfId="1" applyFont="1" applyFill="1" applyBorder="1" applyAlignment="1">
      <alignment vertical="center" wrapText="1"/>
    </xf>
    <xf numFmtId="0" fontId="9" fillId="3" borderId="1" xfId="1" applyFont="1" applyFill="1" applyBorder="1" applyAlignment="1">
      <alignment horizontal="left" vertical="center" wrapText="1"/>
    </xf>
    <xf numFmtId="49" fontId="9" fillId="3" borderId="0" xfId="1" applyNumberFormat="1" applyFont="1" applyFill="1" applyAlignment="1">
      <alignment horizontal="center" vertical="center"/>
    </xf>
    <xf numFmtId="49" fontId="9" fillId="4" borderId="0" xfId="1" applyNumberFormat="1" applyFont="1" applyFill="1" applyAlignment="1">
      <alignment horizontal="center" vertical="center"/>
    </xf>
    <xf numFmtId="164" fontId="9" fillId="3" borderId="0" xfId="1" applyNumberFormat="1" applyFont="1" applyFill="1" applyAlignment="1">
      <alignment horizontal="center" vertical="center"/>
    </xf>
    <xf numFmtId="0" fontId="9" fillId="3" borderId="0" xfId="1" applyFont="1" applyFill="1" applyAlignment="1">
      <alignment horizontal="left" vertical="center"/>
    </xf>
    <xf numFmtId="166" fontId="9" fillId="3" borderId="0" xfId="1" applyNumberFormat="1" applyFont="1" applyFill="1" applyAlignment="1">
      <alignment horizontal="center" vertical="center"/>
    </xf>
    <xf numFmtId="0" fontId="9" fillId="3" borderId="1" xfId="2" applyFont="1" applyFill="1" applyBorder="1" applyAlignment="1">
      <alignment horizontal="center" vertical="center"/>
    </xf>
    <xf numFmtId="0" fontId="11" fillId="3" borderId="1" xfId="1" applyFont="1" applyFill="1" applyBorder="1" applyAlignment="1">
      <alignment horizontal="center" vertical="center"/>
    </xf>
    <xf numFmtId="0" fontId="12" fillId="3" borderId="1" xfId="2" applyFont="1" applyFill="1" applyBorder="1" applyAlignment="1">
      <alignment horizontal="left" vertical="center"/>
    </xf>
    <xf numFmtId="0" fontId="13" fillId="3" borderId="1" xfId="2" applyFont="1" applyFill="1" applyBorder="1" applyAlignment="1">
      <alignment horizontal="center" vertical="center"/>
    </xf>
    <xf numFmtId="0" fontId="9" fillId="3" borderId="1" xfId="1" quotePrefix="1" applyFont="1" applyFill="1" applyBorder="1" applyAlignment="1">
      <alignment horizontal="center" vertical="center"/>
    </xf>
    <xf numFmtId="49" fontId="12" fillId="3" borderId="1" xfId="1" applyNumberFormat="1" applyFont="1" applyFill="1" applyBorder="1" applyAlignment="1">
      <alignment horizontal="center" vertical="center"/>
    </xf>
    <xf numFmtId="0" fontId="12" fillId="3" borderId="1" xfId="2" applyFont="1" applyFill="1" applyBorder="1" applyAlignment="1">
      <alignment horizontal="center" vertical="center"/>
    </xf>
    <xf numFmtId="165" fontId="12" fillId="3" borderId="1" xfId="1" applyNumberFormat="1" applyFont="1" applyFill="1" applyBorder="1" applyAlignment="1">
      <alignment horizontal="center" vertical="center"/>
    </xf>
    <xf numFmtId="1" fontId="12" fillId="3" borderId="1" xfId="1" applyNumberFormat="1" applyFont="1" applyFill="1" applyBorder="1" applyAlignment="1">
      <alignment horizontal="center" vertical="center"/>
    </xf>
    <xf numFmtId="164" fontId="9" fillId="3" borderId="1" xfId="2" quotePrefix="1" applyNumberFormat="1" applyFont="1" applyFill="1" applyBorder="1" applyAlignment="1">
      <alignment horizontal="center" vertical="center"/>
    </xf>
    <xf numFmtId="0" fontId="12" fillId="3" borderId="1" xfId="2" quotePrefix="1" applyFont="1" applyFill="1" applyBorder="1" applyAlignment="1">
      <alignment horizontal="center" vertical="center"/>
    </xf>
    <xf numFmtId="0" fontId="15" fillId="3" borderId="1" xfId="2" quotePrefix="1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41" fontId="12" fillId="3" borderId="1" xfId="1" applyNumberFormat="1" applyFont="1" applyFill="1" applyBorder="1" applyAlignment="1">
      <alignment horizontal="center" vertical="center"/>
    </xf>
    <xf numFmtId="0" fontId="9" fillId="3" borderId="1" xfId="1" quotePrefix="1" applyFont="1" applyFill="1" applyBorder="1" applyAlignment="1">
      <alignment horizontal="left" vertical="center"/>
    </xf>
    <xf numFmtId="0" fontId="9" fillId="3" borderId="1" xfId="5" applyFont="1" applyFill="1" applyBorder="1">
      <alignment vertical="center"/>
    </xf>
    <xf numFmtId="0" fontId="9" fillId="3" borderId="0" xfId="5" applyFont="1" applyFill="1">
      <alignment vertical="center"/>
    </xf>
    <xf numFmtId="0" fontId="9" fillId="3" borderId="0" xfId="1" applyFont="1" applyFill="1">
      <alignment vertical="center"/>
    </xf>
    <xf numFmtId="0" fontId="13" fillId="3" borderId="1" xfId="2" quotePrefix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 vertical="center"/>
    </xf>
    <xf numFmtId="0" fontId="16" fillId="3" borderId="1" xfId="2" applyFont="1" applyFill="1" applyBorder="1" applyAlignment="1">
      <alignment horizontal="left" vertical="center"/>
    </xf>
    <xf numFmtId="0" fontId="9" fillId="3" borderId="1" xfId="2" quotePrefix="1" applyFont="1" applyFill="1" applyBorder="1" applyAlignment="1">
      <alignment horizontal="center" vertical="center"/>
    </xf>
    <xf numFmtId="0" fontId="9" fillId="4" borderId="1" xfId="2" quotePrefix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left" vertical="center"/>
    </xf>
    <xf numFmtId="0" fontId="9" fillId="3" borderId="1" xfId="3" applyFont="1" applyFill="1" applyBorder="1" applyAlignment="1">
      <alignment vertical="center" wrapText="1"/>
    </xf>
    <xf numFmtId="0" fontId="17" fillId="3" borderId="1" xfId="4" applyFont="1" applyFill="1" applyBorder="1" applyAlignment="1">
      <alignment horizontal="left" vertical="center"/>
    </xf>
    <xf numFmtId="0" fontId="9" fillId="4" borderId="1" xfId="1" applyFont="1" applyFill="1" applyBorder="1" applyAlignment="1">
      <alignment horizontal="center" vertical="center"/>
    </xf>
    <xf numFmtId="2" fontId="12" fillId="3" borderId="1" xfId="1" applyNumberFormat="1" applyFont="1" applyFill="1" applyBorder="1" applyAlignment="1">
      <alignment horizontal="center" vertical="center"/>
    </xf>
    <xf numFmtId="0" fontId="9" fillId="3" borderId="3" xfId="2" quotePrefix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/>
    </xf>
    <xf numFmtId="0" fontId="12" fillId="3" borderId="1" xfId="2" quotePrefix="1" applyFont="1" applyFill="1" applyBorder="1" applyAlignment="1">
      <alignment horizontal="left" vertical="center"/>
    </xf>
    <xf numFmtId="0" fontId="12" fillId="4" borderId="1" xfId="2" quotePrefix="1" applyFont="1" applyFill="1" applyBorder="1" applyAlignment="1">
      <alignment horizontal="center" vertical="center"/>
    </xf>
    <xf numFmtId="1" fontId="12" fillId="3" borderId="1" xfId="2" quotePrefix="1" applyNumberFormat="1" applyFont="1" applyFill="1" applyBorder="1" applyAlignment="1">
      <alignment horizontal="center" vertical="center"/>
    </xf>
    <xf numFmtId="0" fontId="9" fillId="3" borderId="1" xfId="2" quotePrefix="1" applyFont="1" applyFill="1" applyBorder="1" applyAlignment="1">
      <alignment vertical="center"/>
    </xf>
    <xf numFmtId="0" fontId="12" fillId="3" borderId="4" xfId="2" quotePrefix="1" applyFont="1" applyFill="1" applyBorder="1" applyAlignment="1">
      <alignment horizontal="center" vertical="center"/>
    </xf>
    <xf numFmtId="0" fontId="9" fillId="3" borderId="3" xfId="2" applyFont="1" applyFill="1" applyBorder="1" applyAlignment="1">
      <alignment horizontal="center" vertical="center"/>
    </xf>
    <xf numFmtId="49" fontId="12" fillId="3" borderId="1" xfId="1" quotePrefix="1" applyNumberFormat="1" applyFont="1" applyFill="1" applyBorder="1" applyAlignment="1">
      <alignment horizontal="center" vertical="center"/>
    </xf>
    <xf numFmtId="49" fontId="9" fillId="3" borderId="1" xfId="1" applyNumberFormat="1" applyFont="1" applyFill="1" applyBorder="1" applyAlignment="1">
      <alignment horizontal="center" vertical="center"/>
    </xf>
    <xf numFmtId="49" fontId="12" fillId="3" borderId="1" xfId="1" applyNumberFormat="1" applyFont="1" applyFill="1" applyBorder="1">
      <alignment vertical="center"/>
    </xf>
    <xf numFmtId="49" fontId="9" fillId="3" borderId="1" xfId="1" applyNumberFormat="1" applyFont="1" applyFill="1" applyBorder="1">
      <alignment vertical="center"/>
    </xf>
    <xf numFmtId="166" fontId="9" fillId="3" borderId="1" xfId="1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vertical="center" shrinkToFit="1"/>
    </xf>
    <xf numFmtId="164" fontId="9" fillId="3" borderId="1" xfId="1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vertical="center" wrapText="1" shrinkToFit="1"/>
    </xf>
    <xf numFmtId="49" fontId="9" fillId="4" borderId="1" xfId="1" applyNumberFormat="1" applyFont="1" applyFill="1" applyBorder="1" applyAlignment="1">
      <alignment horizontal="center" vertical="center"/>
    </xf>
    <xf numFmtId="0" fontId="12" fillId="3" borderId="1" xfId="1" applyFont="1" applyFill="1" applyBorder="1">
      <alignment vertical="center"/>
    </xf>
    <xf numFmtId="0" fontId="9" fillId="3" borderId="1" xfId="1" applyFont="1" applyFill="1" applyBorder="1">
      <alignment vertical="center"/>
    </xf>
    <xf numFmtId="165" fontId="9" fillId="3" borderId="1" xfId="1" applyNumberFormat="1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horizontal="left" vertical="center"/>
    </xf>
    <xf numFmtId="49" fontId="12" fillId="3" borderId="1" xfId="0" applyNumberFormat="1" applyFont="1" applyFill="1" applyBorder="1" applyAlignment="1">
      <alignment horizontal="center" vertical="center"/>
    </xf>
    <xf numFmtId="165" fontId="12" fillId="3" borderId="1" xfId="0" applyNumberFormat="1" applyFont="1" applyFill="1" applyBorder="1" applyAlignment="1">
      <alignment horizontal="center" vertical="center"/>
    </xf>
    <xf numFmtId="49" fontId="12" fillId="3" borderId="1" xfId="1" applyNumberFormat="1" applyFont="1" applyFill="1" applyBorder="1" applyAlignment="1">
      <alignment horizontal="left" vertical="center"/>
    </xf>
    <xf numFmtId="0" fontId="12" fillId="3" borderId="1" xfId="2" applyFont="1" applyFill="1" applyBorder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166" fontId="9" fillId="3" borderId="1" xfId="1" applyNumberFormat="1" applyFont="1" applyFill="1" applyBorder="1">
      <alignment vertical="center"/>
    </xf>
    <xf numFmtId="166" fontId="9" fillId="3" borderId="1" xfId="1" applyNumberFormat="1" applyFont="1" applyFill="1" applyBorder="1" applyAlignment="1">
      <alignment horizontal="left" vertical="center"/>
    </xf>
    <xf numFmtId="167" fontId="9" fillId="3" borderId="1" xfId="1" applyNumberFormat="1" applyFont="1" applyFill="1" applyBorder="1" applyAlignment="1">
      <alignment horizontal="center" vertical="center"/>
    </xf>
    <xf numFmtId="49" fontId="9" fillId="4" borderId="1" xfId="1" applyNumberFormat="1" applyFont="1" applyFill="1" applyBorder="1">
      <alignment vertical="center"/>
    </xf>
    <xf numFmtId="0" fontId="12" fillId="3" borderId="1" xfId="2" applyFont="1" applyFill="1" applyBorder="1" applyAlignment="1">
      <alignment horizontal="right" vertical="center"/>
    </xf>
    <xf numFmtId="165" fontId="9" fillId="3" borderId="2" xfId="1" applyNumberFormat="1" applyFont="1" applyFill="1" applyBorder="1" applyAlignment="1">
      <alignment horizontal="center" vertical="center"/>
    </xf>
    <xf numFmtId="0" fontId="12" fillId="3" borderId="1" xfId="1" applyFont="1" applyFill="1" applyBorder="1" applyAlignment="1">
      <alignment horizontal="center" vertical="center"/>
    </xf>
    <xf numFmtId="0" fontId="9" fillId="3" borderId="1" xfId="2" applyFont="1" applyFill="1" applyBorder="1" applyAlignment="1">
      <alignment vertical="center"/>
    </xf>
    <xf numFmtId="0" fontId="11" fillId="3" borderId="1" xfId="2" applyFont="1" applyFill="1" applyBorder="1" applyAlignment="1">
      <alignment horizontal="left" vertical="center"/>
    </xf>
    <xf numFmtId="166" fontId="9" fillId="3" borderId="1" xfId="1" quotePrefix="1" applyNumberFormat="1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166" fontId="9" fillId="3" borderId="0" xfId="1" applyNumberFormat="1" applyFont="1" applyFill="1">
      <alignment vertical="center"/>
    </xf>
    <xf numFmtId="0" fontId="0" fillId="0" borderId="0" xfId="0" applyNumberFormat="1"/>
    <xf numFmtId="0" fontId="2" fillId="0" borderId="0" xfId="0" applyNumberFormat="1" applyFont="1"/>
    <xf numFmtId="0" fontId="0" fillId="0" borderId="0" xfId="0" applyAlignment="1">
      <alignment horizontal="center" vertical="center" wrapText="1"/>
    </xf>
  </cellXfs>
  <cellStyles count="7">
    <cellStyle name="Normal" xfId="0" builtinId="0"/>
    <cellStyle name="Normal 2" xfId="1" xr:uid="{FF44140A-D1EE-4685-B4C5-AC0DBEBAE845}"/>
    <cellStyle name="Normal 2 2" xfId="5" xr:uid="{3F442166-09C3-445C-8955-1C170F307C4A}"/>
    <cellStyle name="Normal 3" xfId="6" xr:uid="{74027D9A-2A72-40F1-BA3B-8B36AE94A166}"/>
    <cellStyle name="Normal_Sheet1" xfId="2" xr:uid="{95BDCCE8-8812-4F15-8478-33DB619D5475}"/>
    <cellStyle name="Normal_STD tong 2009" xfId="4" xr:uid="{9C687C75-044B-4772-B762-4EE4903DF611}"/>
    <cellStyle name="Normal_Thi truong Tong  2009" xfId="3" xr:uid="{1BDB6FB1-54DC-423C-92FF-560597023BC8}"/>
  </cellStyles>
  <dxfs count="14"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38100</xdr:rowOff>
        </xdr:from>
        <xdr:to>
          <xdr:col>6</xdr:col>
          <xdr:colOff>971550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Cập Nhật Spec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ouevietnam-my.sharepoint.com/personal/tuan_tech_irv_com_vn/Documents/SHARE%20TO%20TECH/TUAN%20TECH%202025/TI&#202;U%20CHU&#7848;N%20K&#7928;%20THU&#7852;T/Form%20m&#7851;u%20theo%20iso%20new-2025/&#201;p%20xu&#7845;t%20l&#7889;p%20Revise-2025/STD%20of%20extruder%20No3%20New%202026.xlsx" TargetMode="External"/><Relationship Id="rId1" Type="http://schemas.openxmlformats.org/officeDocument/2006/relationships/externalLinkPath" Target="https://inouevietnam-my.sharepoint.com/personal/tuan_tech_irv_com_vn/Documents/SHARE%20TO%20TECH/TUAN%20TECH%202025/TI&#202;U%20CHU&#7848;N%20K&#7928;%20THU&#7852;T/Form%20m&#7851;u%20theo%20iso%20new-2025/&#201;p%20xu&#7845;t%20l&#7889;p%20Revise-2025/STD%20of%20extruder%20No3%20New%2020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ベース (Apply)"/>
      <sheetName val="Extruder No 3 (xe)"/>
      <sheetName val="Extruder No 3 (Roll)"/>
      <sheetName val="100.90-10MB48 mác ngược Roll"/>
      <sheetName val="100.90-10MB48 mác ngược xe"/>
      <sheetName val="Danh sách khuôn EX"/>
      <sheetName val="Test 1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FCB47AE-C2F0-4D8F-84FF-91BF2462CEF7}" autoFormatId="16" applyNumberFormats="0" applyBorderFormats="0" applyFontFormats="0" applyPatternFormats="0" applyAlignmentFormats="0" applyWidthHeightFormats="0">
  <queryTableRefresh nextId="41" unboundColumnsRight="9">
    <queryTableFields count="31">
      <queryTableField id="1" name="ext_code" tableColumnId="1"/>
      <queryTableField id="2" name="tire_name" tableColumnId="2"/>
      <queryTableField id="3" name="ext_type" tableColumnId="3"/>
      <queryTableField id="4" name="mold_number" tableColumnId="4"/>
      <queryTableField id="5" name="rubber_upper" tableColumnId="5"/>
      <queryTableField id="6" name="rubber_lower" tableColumnId="6"/>
      <queryTableField id="7" name="length" tableColumnId="7"/>
      <queryTableField id="8" name="height" tableColumnId="8"/>
      <queryTableField id="9" name="weight" tableColumnId="9"/>
      <queryTableField id="10" name="upper_screw_speed" tableColumnId="10"/>
      <queryTableField id="11" name="lower_screw_speed" tableColumnId="11"/>
      <queryTableField id="12" name="roller_speed_1st" tableColumnId="12"/>
      <queryTableField id="13" name="roll_tuc_speed" tableColumnId="13"/>
      <queryTableField id="14" name="conveyor_roller" tableColumnId="14"/>
      <queryTableField id="15" name="conveyor_slope" tableColumnId="15"/>
      <queryTableField id="16" name="roller_conveyor_belt" tableColumnId="16"/>
      <queryTableField id="17" name="cooling_conveyor_belt" tableColumnId="17"/>
      <queryTableField id="18" name="tuc_roller" tableColumnId="18"/>
      <queryTableField id="19" name="tuc_press_head" tableColumnId="19"/>
      <queryTableField id="20" name="tuc_conveyor_belts" tableColumnId="20"/>
      <queryTableField id="21" name="weight_auto" tableColumnId="21"/>
      <queryTableField id="22" name="rubber_mattress" tableColumnId="22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</queryTableFields>
    <queryTableDeletedFields count="9">
      <deletedField name="spec_number"/>
      <deletedField name="irv_code"/>
      <deletedField name="engraving"/>
      <deletedField name="color"/>
      <deletedField name="pcs_spec"/>
      <deletedField name="weight_with_tuc"/>
      <deletedField name="weight_mattress"/>
      <deletedField name="thick_mattress"/>
      <deletedField name="height_mattress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79FBF1-7612-4183-8AC7-04BAD81CD1E4}" name="spec" displayName="spec" ref="B2:AF143" tableType="queryTable" totalsRowShown="0" headerRowDxfId="0">
  <autoFilter ref="B2:AF143" xr:uid="{DF79FBF1-7612-4183-8AC7-04BAD81CD1E4}"/>
  <tableColumns count="31">
    <tableColumn id="1" xr3:uid="{FF7DF0E5-1A01-458B-ABF0-A130209C1B68}" uniqueName="1" name="ext_code" queryTableFieldId="1" dataDxfId="13"/>
    <tableColumn id="2" xr3:uid="{353E5F9F-911A-4C47-A8C3-B4E006477C36}" uniqueName="2" name="tire_name" queryTableFieldId="2" dataDxfId="12"/>
    <tableColumn id="3" xr3:uid="{A3C1A355-D4F9-4F10-9D3A-D4A5F5ECB785}" uniqueName="3" name="ext_type" queryTableFieldId="3" dataDxfId="11"/>
    <tableColumn id="4" xr3:uid="{5193E10E-130A-4D69-A0F0-76CAFC96B2E5}" uniqueName="4" name="mold_number" queryTableFieldId="4" dataDxfId="10"/>
    <tableColumn id="5" xr3:uid="{7E231557-8984-448D-87FB-B18777D62782}" uniqueName="5" name="rubber_upper" queryTableFieldId="5" dataDxfId="9"/>
    <tableColumn id="6" xr3:uid="{9C7AA487-A526-43D1-9008-1AEFFAF57A39}" uniqueName="6" name="rubber_lower" queryTableFieldId="6" dataDxfId="8"/>
    <tableColumn id="7" xr3:uid="{D7F9083E-4D45-4801-B918-77EF2EAE5988}" uniqueName="7" name="length" queryTableFieldId="7"/>
    <tableColumn id="8" xr3:uid="{DE5276BD-233D-4F45-B714-5A1F4E3F0332}" uniqueName="8" name="height" queryTableFieldId="8"/>
    <tableColumn id="9" xr3:uid="{4040AAC6-1965-49FE-8F11-7579DE6968D4}" uniqueName="9" name="weight" queryTableFieldId="9"/>
    <tableColumn id="10" xr3:uid="{618A198B-039B-4B7F-84C2-935369111BFD}" uniqueName="10" name="upper_screw_speed" queryTableFieldId="10"/>
    <tableColumn id="11" xr3:uid="{39354FFF-811C-4479-9C74-86E9B76818E6}" uniqueName="11" name="lower_screw_speed" queryTableFieldId="11"/>
    <tableColumn id="12" xr3:uid="{CC2A16D1-01F8-443D-ABDF-A949ECD54A1F}" uniqueName="12" name="roller_speed_1st" queryTableFieldId="12"/>
    <tableColumn id="13" xr3:uid="{C853F7D4-5230-4B29-853B-20A6E54351AE}" uniqueName="13" name="roll_tuc_speed" queryTableFieldId="13"/>
    <tableColumn id="14" xr3:uid="{BC04B011-0FD5-4D46-A1E6-692631C134A8}" uniqueName="14" name="conveyor_roller" queryTableFieldId="14"/>
    <tableColumn id="15" xr3:uid="{8BB7EBDF-3FCD-4389-8247-D8A9F4E097C7}" uniqueName="15" name="conveyor_slope" queryTableFieldId="15"/>
    <tableColumn id="16" xr3:uid="{D243F5FC-E3E0-478C-97AE-238E80C47956}" uniqueName="16" name="roller_conveyor_belt" queryTableFieldId="16"/>
    <tableColumn id="17" xr3:uid="{2EE09A81-360E-4095-A31B-03E8B0BE83F5}" uniqueName="17" name="cooling_conveyor_belt" queryTableFieldId="17"/>
    <tableColumn id="18" xr3:uid="{5E14221E-0F38-4112-AB5E-3A1953958737}" uniqueName="18" name="tuc_roller" queryTableFieldId="18"/>
    <tableColumn id="19" xr3:uid="{984CFFBB-5893-413E-928E-9006DC6396F3}" uniqueName="19" name="tuc_press_head" queryTableFieldId="19"/>
    <tableColumn id="20" xr3:uid="{2E320BBD-4ACF-40C7-828F-763ADA86798F}" uniqueName="20" name="tuc_conveyor_belts" queryTableFieldId="20"/>
    <tableColumn id="21" xr3:uid="{9FC677B9-47CC-4E5B-8FBF-334400B3C525}" uniqueName="21" name="weight_auto" queryTableFieldId="21"/>
    <tableColumn id="22" xr3:uid="{944EAC6B-F69D-4135-9649-C9C381C278A3}" uniqueName="22" name="rubber_mattress" queryTableFieldId="22"/>
    <tableColumn id="32" xr3:uid="{FCD3DBAF-1635-495C-A7B3-D4B556F0C973}" uniqueName="32" name="height_mattress" queryTableFieldId="32"/>
    <tableColumn id="33" xr3:uid="{362431FB-F90D-4050-8E2E-913E3F214010}" uniqueName="33" name="thick_mattress" queryTableFieldId="33"/>
    <tableColumn id="34" xr3:uid="{059DE035-9CB3-4260-9622-975CAA385BE4}" uniqueName="34" name="weight_mattress" queryTableFieldId="34"/>
    <tableColumn id="35" xr3:uid="{4042A9F0-25DB-49B4-B60A-E9AAEAFD75DC}" uniqueName="35" name="weight_with_tuc" queryTableFieldId="35"/>
    <tableColumn id="36" xr3:uid="{5BB4676F-EA78-4C16-A114-2041498DBE41}" uniqueName="36" name="pcs_spec" queryTableFieldId="36"/>
    <tableColumn id="37" xr3:uid="{CC25A015-89CF-40B7-AD42-6F621C47839B}" uniqueName="37" name="color" queryTableFieldId="37" dataDxfId="4"/>
    <tableColumn id="38" xr3:uid="{385FE071-F735-499B-B6D7-839A285057CF}" uniqueName="38" name="engraving" queryTableFieldId="38" dataDxfId="3"/>
    <tableColumn id="39" xr3:uid="{31572B9B-6D14-4BFB-A6BB-962E8CBF93C6}" uniqueName="39" name="irv_code" queryTableFieldId="39" dataDxfId="2"/>
    <tableColumn id="40" xr3:uid="{41B8A1B4-3AF7-494C-A4D8-6C82159F01AF}" uniqueName="40" name="spec_number" queryTableFieldId="40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76200" cap="flat" cmpd="sng" algn="ctr">
          <a:solidFill>
            <a:srgbClr xmlns:mc="http://schemas.openxmlformats.org/markup-compatibility/2006" xmlns:a14="http://schemas.microsoft.com/office/drawing/2010/main" val="110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76200" cap="flat" cmpd="sng" algn="ctr">
          <a:solidFill>
            <a:srgbClr xmlns:mc="http://schemas.openxmlformats.org/markup-compatibility/2006" xmlns:a14="http://schemas.microsoft.com/office/drawing/2010/main" val="110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CF911-C766-4E02-A6E5-6954779ABBB6}">
  <sheetPr codeName="Sheet1">
    <tabColor indexed="17"/>
  </sheetPr>
  <dimension ref="A1:AS153"/>
  <sheetViews>
    <sheetView view="pageBreakPreview" zoomScaleNormal="100" zoomScaleSheetLayoutView="100" workbookViewId="0">
      <selection activeCell="R54" sqref="R54"/>
    </sheetView>
  </sheetViews>
  <sheetFormatPr defaultColWidth="12.42578125" defaultRowHeight="18.75"/>
  <cols>
    <col min="1" max="2" width="12.42578125" style="1"/>
    <col min="3" max="3" width="12.42578125" style="31"/>
    <col min="4" max="4" width="16.85546875" style="31" customWidth="1"/>
    <col min="5" max="8" width="12.42578125" style="31"/>
    <col min="9" max="9" width="6.7109375" style="1" customWidth="1"/>
    <col min="10" max="11" width="9.28515625" style="1" customWidth="1"/>
    <col min="12" max="12" width="12.42578125" style="1"/>
    <col min="13" max="13" width="19.7109375" style="31" customWidth="1"/>
    <col min="14" max="14" width="17.7109375" style="31" customWidth="1"/>
    <col min="15" max="18" width="12.42578125" style="31"/>
    <col min="19" max="22" width="12.42578125" style="1"/>
    <col min="23" max="23" width="12.42578125" style="79"/>
    <col min="24" max="30" width="12.42578125" style="31"/>
    <col min="31" max="38" width="12.42578125" style="1"/>
    <col min="39" max="39" width="42.140625" style="31" customWidth="1"/>
    <col min="40" max="40" width="39" style="31" customWidth="1"/>
    <col min="41" max="41" width="26.5703125" style="31" customWidth="1"/>
    <col min="42" max="42" width="12.42578125" style="10"/>
    <col min="43" max="43" width="41.28515625" style="31" customWidth="1"/>
    <col min="44" max="44" width="33.42578125" style="31" customWidth="1"/>
    <col min="45" max="16384" width="12.42578125" style="31"/>
  </cols>
  <sheetData>
    <row r="1" spans="1:45" s="1" customFormat="1" ht="173.25" customHeight="1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30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3" t="s">
        <v>791</v>
      </c>
      <c r="Q1" s="3" t="s">
        <v>944</v>
      </c>
      <c r="R1" s="4" t="s">
        <v>943</v>
      </c>
      <c r="S1" s="3" t="s">
        <v>792</v>
      </c>
      <c r="T1" s="3" t="s">
        <v>793</v>
      </c>
      <c r="U1" s="4" t="s">
        <v>942</v>
      </c>
      <c r="V1" s="4" t="s">
        <v>22</v>
      </c>
      <c r="W1" s="3" t="s">
        <v>939</v>
      </c>
      <c r="X1" s="2" t="s">
        <v>24</v>
      </c>
      <c r="Y1" s="2" t="s">
        <v>25</v>
      </c>
      <c r="Z1" s="2" t="s">
        <v>26</v>
      </c>
      <c r="AA1" s="2" t="s">
        <v>27</v>
      </c>
      <c r="AB1" s="2" t="s">
        <v>28</v>
      </c>
      <c r="AC1" s="3" t="s">
        <v>940</v>
      </c>
      <c r="AD1" s="3" t="s">
        <v>941</v>
      </c>
      <c r="AE1" s="2" t="s">
        <v>13</v>
      </c>
      <c r="AF1" s="2" t="s">
        <v>14</v>
      </c>
      <c r="AG1" s="2" t="s">
        <v>15</v>
      </c>
      <c r="AH1" s="2" t="s">
        <v>16</v>
      </c>
      <c r="AI1" s="2" t="s">
        <v>17</v>
      </c>
      <c r="AJ1" s="2" t="s">
        <v>18</v>
      </c>
      <c r="AK1" s="2" t="s">
        <v>19</v>
      </c>
      <c r="AL1" s="2" t="s">
        <v>20</v>
      </c>
      <c r="AM1" s="2" t="s">
        <v>21</v>
      </c>
      <c r="AN1" s="2" t="s">
        <v>23</v>
      </c>
      <c r="AO1" s="5" t="s">
        <v>29</v>
      </c>
      <c r="AP1" s="6" t="s">
        <v>31</v>
      </c>
    </row>
    <row r="2" spans="1:45" s="7" customFormat="1">
      <c r="A2" s="7" t="s">
        <v>32</v>
      </c>
      <c r="B2" s="7" t="s">
        <v>33</v>
      </c>
      <c r="C2" s="7" t="s">
        <v>34</v>
      </c>
      <c r="D2" s="7" t="s">
        <v>35</v>
      </c>
      <c r="E2" s="7" t="s">
        <v>36</v>
      </c>
      <c r="F2" s="7" t="s">
        <v>37</v>
      </c>
      <c r="G2" s="7" t="s">
        <v>38</v>
      </c>
      <c r="H2" s="7" t="s">
        <v>39</v>
      </c>
      <c r="I2" s="7" t="s">
        <v>40</v>
      </c>
      <c r="J2" s="7" t="s">
        <v>41</v>
      </c>
      <c r="K2" s="7" t="s">
        <v>42</v>
      </c>
      <c r="L2" s="7" t="s">
        <v>43</v>
      </c>
      <c r="M2" s="7" t="s">
        <v>44</v>
      </c>
      <c r="N2" s="7" t="s">
        <v>45</v>
      </c>
      <c r="O2" s="7" t="s">
        <v>46</v>
      </c>
      <c r="P2" s="7" t="s">
        <v>47</v>
      </c>
      <c r="Q2" s="7" t="s">
        <v>48</v>
      </c>
      <c r="R2" s="7" t="s">
        <v>49</v>
      </c>
      <c r="S2" s="7" t="s">
        <v>50</v>
      </c>
      <c r="T2" s="7" t="s">
        <v>51</v>
      </c>
      <c r="U2" s="7" t="s">
        <v>52</v>
      </c>
      <c r="V2" s="7" t="s">
        <v>69</v>
      </c>
      <c r="W2" s="8" t="s">
        <v>53</v>
      </c>
      <c r="X2" s="7" t="s">
        <v>54</v>
      </c>
      <c r="Y2" s="7" t="s">
        <v>55</v>
      </c>
      <c r="Z2" s="7" t="s">
        <v>56</v>
      </c>
      <c r="AA2" s="7" t="s">
        <v>57</v>
      </c>
      <c r="AB2" s="7" t="s">
        <v>58</v>
      </c>
      <c r="AC2" s="8" t="s">
        <v>59</v>
      </c>
      <c r="AD2" s="8" t="s">
        <v>60</v>
      </c>
      <c r="AE2" s="7" t="s">
        <v>61</v>
      </c>
      <c r="AF2" s="7" t="s">
        <v>62</v>
      </c>
      <c r="AG2" s="7" t="s">
        <v>63</v>
      </c>
      <c r="AH2" s="7" t="s">
        <v>64</v>
      </c>
      <c r="AI2" s="7" t="s">
        <v>65</v>
      </c>
      <c r="AJ2" s="7" t="s">
        <v>66</v>
      </c>
      <c r="AK2" s="7" t="s">
        <v>67</v>
      </c>
      <c r="AL2" s="7" t="s">
        <v>68</v>
      </c>
      <c r="AM2" s="7" t="s">
        <v>70</v>
      </c>
      <c r="AN2" s="7" t="s">
        <v>71</v>
      </c>
      <c r="AO2" s="7" t="s">
        <v>72</v>
      </c>
      <c r="AP2" s="7" t="s">
        <v>73</v>
      </c>
      <c r="AQ2" s="7" t="s">
        <v>74</v>
      </c>
      <c r="AR2" s="7" t="s">
        <v>75</v>
      </c>
    </row>
    <row r="3" spans="1:45" ht="42" customHeight="1">
      <c r="A3" s="1">
        <v>321</v>
      </c>
      <c r="B3" s="12" t="s">
        <v>84</v>
      </c>
      <c r="C3" s="13" t="s">
        <v>794</v>
      </c>
      <c r="D3" s="14" t="s">
        <v>85</v>
      </c>
      <c r="E3" s="15">
        <v>33</v>
      </c>
      <c r="F3" s="15" t="s">
        <v>86</v>
      </c>
      <c r="G3" s="15" t="s">
        <v>87</v>
      </c>
      <c r="H3" s="14" t="s">
        <v>88</v>
      </c>
      <c r="I3" s="16" t="s">
        <v>93</v>
      </c>
      <c r="J3" s="17" t="s">
        <v>89</v>
      </c>
      <c r="K3" s="17" t="s">
        <v>90</v>
      </c>
      <c r="L3" s="17" t="s">
        <v>91</v>
      </c>
      <c r="M3" s="18" t="s">
        <v>790</v>
      </c>
      <c r="N3" s="18" t="s">
        <v>790</v>
      </c>
      <c r="O3" s="18">
        <v>1420</v>
      </c>
      <c r="P3" s="18">
        <v>157</v>
      </c>
      <c r="Q3" s="19">
        <v>860</v>
      </c>
      <c r="R3" s="20"/>
      <c r="S3" s="21">
        <v>17.3</v>
      </c>
      <c r="T3" s="21">
        <v>24.2</v>
      </c>
      <c r="U3" s="22" t="s">
        <v>93</v>
      </c>
      <c r="V3" s="23">
        <v>970</v>
      </c>
      <c r="W3" s="24"/>
      <c r="X3" s="25">
        <v>820</v>
      </c>
      <c r="Y3" s="25">
        <v>940</v>
      </c>
      <c r="Z3" s="25">
        <v>980</v>
      </c>
      <c r="AA3" s="25">
        <v>670</v>
      </c>
      <c r="AB3" s="25">
        <v>700</v>
      </c>
      <c r="AC3" s="26"/>
      <c r="AD3" s="26"/>
      <c r="AE3" s="22">
        <v>890</v>
      </c>
      <c r="AF3" s="17" t="s">
        <v>93</v>
      </c>
      <c r="AG3" s="17" t="s">
        <v>93</v>
      </c>
      <c r="AH3" s="17" t="s">
        <v>93</v>
      </c>
      <c r="AI3" s="17"/>
      <c r="AJ3" s="19">
        <v>860</v>
      </c>
      <c r="AK3" s="19">
        <v>24.8</v>
      </c>
      <c r="AL3" s="27">
        <v>0</v>
      </c>
      <c r="AM3" s="14" t="s">
        <v>94</v>
      </c>
      <c r="AN3" s="22" t="s">
        <v>93</v>
      </c>
      <c r="AO3" s="5" t="s">
        <v>95</v>
      </c>
      <c r="AP3" s="28" t="s">
        <v>93</v>
      </c>
      <c r="AQ3" s="29" t="str">
        <f>SUBSTITUTE(SUBSTITUTE(SUBSTITUTE(SUBSTITUTE(AM3,"|","")," ",""),"-",""),"⁞","")</f>
        <v/>
      </c>
      <c r="AR3" s="29" t="str">
        <f t="shared" ref="AR3" si="0">TRIM(IF(LEFT(AQ3,1)="(",MID(AQ3,FIND(")",AQ3&amp;")")+1,999),LEFT(AQ3,FIND("(",AQ3&amp;"(")-1)))</f>
        <v/>
      </c>
      <c r="AS3" s="30"/>
    </row>
    <row r="4" spans="1:45" ht="42" customHeight="1">
      <c r="A4" s="1">
        <v>322</v>
      </c>
      <c r="B4" s="12" t="s">
        <v>96</v>
      </c>
      <c r="C4" s="13" t="s">
        <v>795</v>
      </c>
      <c r="D4" s="14" t="s">
        <v>85</v>
      </c>
      <c r="E4" s="15">
        <v>33</v>
      </c>
      <c r="F4" s="15" t="s">
        <v>86</v>
      </c>
      <c r="G4" s="15" t="s">
        <v>87</v>
      </c>
      <c r="H4" s="14" t="s">
        <v>97</v>
      </c>
      <c r="I4" s="16" t="s">
        <v>93</v>
      </c>
      <c r="J4" s="17" t="s">
        <v>89</v>
      </c>
      <c r="K4" s="17" t="s">
        <v>90</v>
      </c>
      <c r="L4" s="17" t="s">
        <v>91</v>
      </c>
      <c r="M4" s="18" t="s">
        <v>790</v>
      </c>
      <c r="N4" s="18" t="s">
        <v>790</v>
      </c>
      <c r="O4" s="18">
        <v>1420</v>
      </c>
      <c r="P4" s="18">
        <v>157</v>
      </c>
      <c r="Q4" s="19">
        <v>860</v>
      </c>
      <c r="R4" s="20"/>
      <c r="S4" s="21">
        <v>17.3</v>
      </c>
      <c r="T4" s="21">
        <v>24.2</v>
      </c>
      <c r="U4" s="22" t="s">
        <v>93</v>
      </c>
      <c r="V4" s="23">
        <v>970</v>
      </c>
      <c r="W4" s="24"/>
      <c r="X4" s="25">
        <v>820</v>
      </c>
      <c r="Y4" s="25">
        <v>940</v>
      </c>
      <c r="Z4" s="25">
        <v>980</v>
      </c>
      <c r="AA4" s="25">
        <v>670</v>
      </c>
      <c r="AB4" s="25">
        <v>700</v>
      </c>
      <c r="AC4" s="26"/>
      <c r="AD4" s="26"/>
      <c r="AE4" s="22">
        <v>890</v>
      </c>
      <c r="AF4" s="17" t="s">
        <v>93</v>
      </c>
      <c r="AG4" s="17" t="s">
        <v>93</v>
      </c>
      <c r="AH4" s="17" t="s">
        <v>93</v>
      </c>
      <c r="AI4" s="17"/>
      <c r="AJ4" s="19">
        <v>860</v>
      </c>
      <c r="AK4" s="19">
        <v>24.8</v>
      </c>
      <c r="AL4" s="27">
        <v>0</v>
      </c>
      <c r="AM4" s="14" t="s">
        <v>98</v>
      </c>
      <c r="AN4" s="22" t="s">
        <v>93</v>
      </c>
      <c r="AO4" s="5" t="s">
        <v>99</v>
      </c>
      <c r="AP4" s="28" t="s">
        <v>93</v>
      </c>
      <c r="AQ4" s="29" t="str">
        <f t="shared" ref="AQ4:AQ67" si="1">SUBSTITUTE(SUBSTITUTE(SUBSTITUTE(SUBSTITUTE(AM4,"|","")," ",""),"-",""),"⁞","")</f>
        <v>15W10G(15Trắng10Xanhlácây)</v>
      </c>
      <c r="AR4" s="29" t="str">
        <f t="shared" ref="AR4:AR67" si="2">TRIM(IF(LEFT(AQ4,1)="(",MID(AQ4,FIND(")",AQ4&amp;")")+1,999),LEFT(AQ4,FIND("(",AQ4&amp;"(")-1)))</f>
        <v>15W10G</v>
      </c>
    </row>
    <row r="5" spans="1:45" ht="42" customHeight="1">
      <c r="A5" s="1">
        <v>323</v>
      </c>
      <c r="B5" s="12" t="s">
        <v>100</v>
      </c>
      <c r="C5" s="13" t="s">
        <v>796</v>
      </c>
      <c r="D5" s="14" t="s">
        <v>85</v>
      </c>
      <c r="E5" s="15">
        <v>33</v>
      </c>
      <c r="F5" s="15" t="s">
        <v>86</v>
      </c>
      <c r="G5" s="15" t="s">
        <v>87</v>
      </c>
      <c r="H5" s="14" t="s">
        <v>101</v>
      </c>
      <c r="I5" s="16" t="s">
        <v>93</v>
      </c>
      <c r="J5" s="17" t="s">
        <v>89</v>
      </c>
      <c r="K5" s="17" t="s">
        <v>90</v>
      </c>
      <c r="L5" s="17" t="s">
        <v>102</v>
      </c>
      <c r="M5" s="18" t="s">
        <v>103</v>
      </c>
      <c r="N5" s="18" t="s">
        <v>103</v>
      </c>
      <c r="O5" s="18">
        <v>1450</v>
      </c>
      <c r="P5" s="18">
        <v>157</v>
      </c>
      <c r="Q5" s="19">
        <v>830</v>
      </c>
      <c r="R5" s="20"/>
      <c r="S5" s="21">
        <v>14</v>
      </c>
      <c r="T5" s="21">
        <v>19.600000000000001</v>
      </c>
      <c r="U5" s="22" t="s">
        <v>93</v>
      </c>
      <c r="V5" s="23">
        <v>850</v>
      </c>
      <c r="W5" s="24"/>
      <c r="X5" s="25">
        <v>780</v>
      </c>
      <c r="Y5" s="25">
        <v>960</v>
      </c>
      <c r="Z5" s="25">
        <v>980</v>
      </c>
      <c r="AA5" s="25">
        <v>700</v>
      </c>
      <c r="AB5" s="25">
        <v>700</v>
      </c>
      <c r="AC5" s="26"/>
      <c r="AD5" s="26"/>
      <c r="AE5" s="22">
        <v>840</v>
      </c>
      <c r="AF5" s="17" t="s">
        <v>93</v>
      </c>
      <c r="AG5" s="17" t="s">
        <v>93</v>
      </c>
      <c r="AH5" s="17" t="s">
        <v>93</v>
      </c>
      <c r="AI5" s="17"/>
      <c r="AJ5" s="19">
        <v>830</v>
      </c>
      <c r="AK5" s="19">
        <v>24.9</v>
      </c>
      <c r="AL5" s="27">
        <v>0</v>
      </c>
      <c r="AM5" s="14" t="s">
        <v>104</v>
      </c>
      <c r="AN5" s="22" t="s">
        <v>93</v>
      </c>
      <c r="AO5" s="5" t="s">
        <v>105</v>
      </c>
      <c r="AP5" s="28" t="s">
        <v>93</v>
      </c>
      <c r="AQ5" s="29" t="str">
        <f t="shared" si="1"/>
        <v>15W10W(15Trắng10Trắng)</v>
      </c>
      <c r="AR5" s="29" t="str">
        <f t="shared" si="2"/>
        <v>15W10W</v>
      </c>
    </row>
    <row r="6" spans="1:45" ht="42" customHeight="1">
      <c r="A6" s="1">
        <v>324</v>
      </c>
      <c r="B6" s="12" t="s">
        <v>106</v>
      </c>
      <c r="C6" s="13" t="s">
        <v>797</v>
      </c>
      <c r="D6" s="14" t="s">
        <v>107</v>
      </c>
      <c r="E6" s="15">
        <v>38</v>
      </c>
      <c r="F6" s="15" t="s">
        <v>86</v>
      </c>
      <c r="G6" s="15" t="s">
        <v>87</v>
      </c>
      <c r="H6" s="14" t="s">
        <v>108</v>
      </c>
      <c r="I6" s="16" t="s">
        <v>93</v>
      </c>
      <c r="J6" s="17" t="s">
        <v>89</v>
      </c>
      <c r="K6" s="17" t="s">
        <v>90</v>
      </c>
      <c r="L6" s="17" t="s">
        <v>109</v>
      </c>
      <c r="M6" s="18" t="s">
        <v>790</v>
      </c>
      <c r="N6" s="18" t="s">
        <v>790</v>
      </c>
      <c r="O6" s="18">
        <v>1430</v>
      </c>
      <c r="P6" s="18">
        <v>168</v>
      </c>
      <c r="Q6" s="19">
        <v>1055</v>
      </c>
      <c r="R6" s="20"/>
      <c r="S6" s="21">
        <v>17</v>
      </c>
      <c r="T6" s="21">
        <v>22.5</v>
      </c>
      <c r="U6" s="22" t="s">
        <v>93</v>
      </c>
      <c r="V6" s="23">
        <v>920</v>
      </c>
      <c r="W6" s="24"/>
      <c r="X6" s="25">
        <v>800</v>
      </c>
      <c r="Y6" s="25">
        <v>950</v>
      </c>
      <c r="Z6" s="25">
        <v>980</v>
      </c>
      <c r="AA6" s="25">
        <v>700</v>
      </c>
      <c r="AB6" s="25">
        <v>700</v>
      </c>
      <c r="AC6" s="26"/>
      <c r="AD6" s="26"/>
      <c r="AE6" s="22">
        <v>1040</v>
      </c>
      <c r="AF6" s="17" t="s">
        <v>93</v>
      </c>
      <c r="AG6" s="17" t="s">
        <v>93</v>
      </c>
      <c r="AH6" s="17" t="s">
        <v>93</v>
      </c>
      <c r="AI6" s="17"/>
      <c r="AJ6" s="19">
        <v>1055</v>
      </c>
      <c r="AK6" s="19">
        <v>29.65</v>
      </c>
      <c r="AL6" s="27">
        <v>0</v>
      </c>
      <c r="AM6" s="14" t="s">
        <v>110</v>
      </c>
      <c r="AN6" s="22" t="s">
        <v>93</v>
      </c>
      <c r="AO6" s="5" t="s">
        <v>111</v>
      </c>
      <c r="AP6" s="28" t="s">
        <v>93</v>
      </c>
      <c r="AQ6" s="29" t="str">
        <f t="shared" si="1"/>
        <v>15B(15XDT)</v>
      </c>
      <c r="AR6" s="29" t="str">
        <f t="shared" si="2"/>
        <v>15B</v>
      </c>
    </row>
    <row r="7" spans="1:45" ht="42" customHeight="1">
      <c r="A7" s="1">
        <v>325</v>
      </c>
      <c r="B7" s="12" t="s">
        <v>112</v>
      </c>
      <c r="C7" s="13" t="s">
        <v>798</v>
      </c>
      <c r="D7" s="14" t="s">
        <v>107</v>
      </c>
      <c r="E7" s="15">
        <v>38</v>
      </c>
      <c r="F7" s="15" t="s">
        <v>86</v>
      </c>
      <c r="G7" s="15" t="s">
        <v>87</v>
      </c>
      <c r="H7" s="14" t="s">
        <v>108</v>
      </c>
      <c r="I7" s="16" t="s">
        <v>93</v>
      </c>
      <c r="J7" s="17" t="s">
        <v>89</v>
      </c>
      <c r="K7" s="17" t="s">
        <v>90</v>
      </c>
      <c r="L7" s="17" t="s">
        <v>109</v>
      </c>
      <c r="M7" s="18" t="s">
        <v>790</v>
      </c>
      <c r="N7" s="18" t="s">
        <v>790</v>
      </c>
      <c r="O7" s="18">
        <v>1430</v>
      </c>
      <c r="P7" s="18">
        <v>168</v>
      </c>
      <c r="Q7" s="19">
        <v>1055</v>
      </c>
      <c r="R7" s="20"/>
      <c r="S7" s="21">
        <v>17</v>
      </c>
      <c r="T7" s="21">
        <v>22.5</v>
      </c>
      <c r="U7" s="22" t="s">
        <v>93</v>
      </c>
      <c r="V7" s="23">
        <v>920</v>
      </c>
      <c r="W7" s="24"/>
      <c r="X7" s="25">
        <v>800</v>
      </c>
      <c r="Y7" s="25">
        <v>950</v>
      </c>
      <c r="Z7" s="25">
        <v>980</v>
      </c>
      <c r="AA7" s="25">
        <v>700</v>
      </c>
      <c r="AB7" s="25">
        <v>700</v>
      </c>
      <c r="AC7" s="26"/>
      <c r="AD7" s="26"/>
      <c r="AE7" s="22">
        <v>1040</v>
      </c>
      <c r="AF7" s="17" t="s">
        <v>93</v>
      </c>
      <c r="AG7" s="17" t="s">
        <v>93</v>
      </c>
      <c r="AH7" s="17" t="s">
        <v>93</v>
      </c>
      <c r="AI7" s="17"/>
      <c r="AJ7" s="19">
        <v>1055</v>
      </c>
      <c r="AK7" s="19">
        <v>29.65</v>
      </c>
      <c r="AL7" s="27">
        <v>0</v>
      </c>
      <c r="AM7" s="14" t="s">
        <v>113</v>
      </c>
      <c r="AN7" s="22" t="s">
        <v>93</v>
      </c>
      <c r="AO7" s="5" t="s">
        <v>114</v>
      </c>
      <c r="AP7" s="28" t="s">
        <v>93</v>
      </c>
      <c r="AQ7" s="29" t="str">
        <f t="shared" si="1"/>
        <v>15R(15Đỏ)</v>
      </c>
      <c r="AR7" s="29" t="str">
        <f t="shared" si="2"/>
        <v>15R</v>
      </c>
    </row>
    <row r="8" spans="1:45" ht="42" customHeight="1">
      <c r="A8" s="1">
        <v>326</v>
      </c>
      <c r="B8" s="12" t="s">
        <v>115</v>
      </c>
      <c r="C8" s="13" t="s">
        <v>799</v>
      </c>
      <c r="D8" s="14" t="s">
        <v>107</v>
      </c>
      <c r="E8" s="15">
        <v>43</v>
      </c>
      <c r="F8" s="15" t="s">
        <v>86</v>
      </c>
      <c r="G8" s="15" t="s">
        <v>116</v>
      </c>
      <c r="H8" s="14" t="s">
        <v>108</v>
      </c>
      <c r="I8" s="16" t="s">
        <v>93</v>
      </c>
      <c r="J8" s="17" t="s">
        <v>89</v>
      </c>
      <c r="K8" s="17" t="s">
        <v>90</v>
      </c>
      <c r="L8" s="17" t="s">
        <v>109</v>
      </c>
      <c r="M8" s="18" t="s">
        <v>790</v>
      </c>
      <c r="N8" s="18" t="s">
        <v>790</v>
      </c>
      <c r="O8" s="18">
        <v>1430</v>
      </c>
      <c r="P8" s="18">
        <v>168</v>
      </c>
      <c r="Q8" s="19">
        <v>1055</v>
      </c>
      <c r="R8" s="20"/>
      <c r="S8" s="21">
        <v>17</v>
      </c>
      <c r="T8" s="21">
        <v>22.5</v>
      </c>
      <c r="U8" s="22" t="s">
        <v>93</v>
      </c>
      <c r="V8" s="23">
        <v>920</v>
      </c>
      <c r="W8" s="24"/>
      <c r="X8" s="25">
        <v>800</v>
      </c>
      <c r="Y8" s="25">
        <v>950</v>
      </c>
      <c r="Z8" s="25">
        <v>980</v>
      </c>
      <c r="AA8" s="25">
        <v>700</v>
      </c>
      <c r="AB8" s="25">
        <v>700</v>
      </c>
      <c r="AC8" s="26"/>
      <c r="AD8" s="26"/>
      <c r="AE8" s="22">
        <v>1040</v>
      </c>
      <c r="AF8" s="17" t="s">
        <v>93</v>
      </c>
      <c r="AG8" s="17" t="s">
        <v>93</v>
      </c>
      <c r="AH8" s="17" t="s">
        <v>93</v>
      </c>
      <c r="AI8" s="17"/>
      <c r="AJ8" s="19">
        <v>1055</v>
      </c>
      <c r="AK8" s="19">
        <v>29.65</v>
      </c>
      <c r="AL8" s="27">
        <v>0</v>
      </c>
      <c r="AM8" s="14" t="s">
        <v>117</v>
      </c>
      <c r="AN8" s="22" t="s">
        <v>118</v>
      </c>
      <c r="AO8" s="5" t="s">
        <v>119</v>
      </c>
      <c r="AP8" s="28" t="s">
        <v>93</v>
      </c>
      <c r="AQ8" s="29" t="str">
        <f t="shared" si="1"/>
        <v>10V15Y(10Tím15Vàng)</v>
      </c>
      <c r="AR8" s="29" t="str">
        <f t="shared" si="2"/>
        <v>10V15Y</v>
      </c>
    </row>
    <row r="9" spans="1:45" ht="42" customHeight="1">
      <c r="A9" s="1">
        <v>327</v>
      </c>
      <c r="B9" s="12" t="s">
        <v>120</v>
      </c>
      <c r="C9" s="13" t="s">
        <v>800</v>
      </c>
      <c r="D9" s="14" t="s">
        <v>107</v>
      </c>
      <c r="E9" s="15">
        <v>38</v>
      </c>
      <c r="F9" s="15" t="s">
        <v>86</v>
      </c>
      <c r="G9" s="15" t="s">
        <v>87</v>
      </c>
      <c r="H9" s="14" t="s">
        <v>121</v>
      </c>
      <c r="I9" s="16" t="s">
        <v>93</v>
      </c>
      <c r="J9" s="17" t="s">
        <v>89</v>
      </c>
      <c r="K9" s="17" t="s">
        <v>90</v>
      </c>
      <c r="L9" s="17" t="s">
        <v>122</v>
      </c>
      <c r="M9" s="18" t="s">
        <v>790</v>
      </c>
      <c r="N9" s="18" t="s">
        <v>790</v>
      </c>
      <c r="O9" s="18">
        <v>1440</v>
      </c>
      <c r="P9" s="18">
        <v>168</v>
      </c>
      <c r="Q9" s="19">
        <v>1190</v>
      </c>
      <c r="R9" s="20"/>
      <c r="S9" s="21">
        <v>24</v>
      </c>
      <c r="T9" s="21">
        <v>31</v>
      </c>
      <c r="U9" s="22" t="s">
        <v>93</v>
      </c>
      <c r="V9" s="23">
        <v>990</v>
      </c>
      <c r="W9" s="24"/>
      <c r="X9" s="25">
        <v>840</v>
      </c>
      <c r="Y9" s="25">
        <v>950</v>
      </c>
      <c r="Z9" s="25">
        <v>980</v>
      </c>
      <c r="AA9" s="25">
        <v>670</v>
      </c>
      <c r="AB9" s="25">
        <v>700</v>
      </c>
      <c r="AC9" s="26"/>
      <c r="AD9" s="26"/>
      <c r="AE9" s="22">
        <v>1205</v>
      </c>
      <c r="AF9" s="17" t="s">
        <v>93</v>
      </c>
      <c r="AG9" s="17" t="s">
        <v>93</v>
      </c>
      <c r="AH9" s="17" t="s">
        <v>93</v>
      </c>
      <c r="AI9" s="17"/>
      <c r="AJ9" s="19">
        <v>1190</v>
      </c>
      <c r="AK9" s="19">
        <v>34.699999999999996</v>
      </c>
      <c r="AL9" s="27">
        <v>0</v>
      </c>
      <c r="AM9" s="14" t="s">
        <v>123</v>
      </c>
      <c r="AN9" s="22" t="s">
        <v>93</v>
      </c>
      <c r="AO9" s="5" t="s">
        <v>124</v>
      </c>
      <c r="AP9" s="28" t="s">
        <v>93</v>
      </c>
      <c r="AQ9" s="29" t="str">
        <f t="shared" si="1"/>
        <v>15W10R(15Trắng10Đỏ)</v>
      </c>
      <c r="AR9" s="29" t="str">
        <f t="shared" si="2"/>
        <v>15W10R</v>
      </c>
    </row>
    <row r="10" spans="1:45" ht="42" customHeight="1">
      <c r="A10" s="1">
        <v>328</v>
      </c>
      <c r="B10" s="12" t="s">
        <v>125</v>
      </c>
      <c r="C10" s="13" t="s">
        <v>801</v>
      </c>
      <c r="D10" s="14" t="s">
        <v>107</v>
      </c>
      <c r="E10" s="15">
        <v>38</v>
      </c>
      <c r="F10" s="15" t="s">
        <v>86</v>
      </c>
      <c r="G10" s="15" t="s">
        <v>87</v>
      </c>
      <c r="H10" s="14" t="s">
        <v>126</v>
      </c>
      <c r="I10" s="16" t="s">
        <v>93</v>
      </c>
      <c r="J10" s="17" t="s">
        <v>89</v>
      </c>
      <c r="K10" s="17" t="s">
        <v>90</v>
      </c>
      <c r="L10" s="17" t="s">
        <v>127</v>
      </c>
      <c r="M10" s="18" t="s">
        <v>790</v>
      </c>
      <c r="N10" s="18" t="s">
        <v>790</v>
      </c>
      <c r="O10" s="18">
        <v>1450</v>
      </c>
      <c r="P10" s="18">
        <v>166</v>
      </c>
      <c r="Q10" s="19">
        <v>1110</v>
      </c>
      <c r="R10" s="20"/>
      <c r="S10" s="21">
        <v>19</v>
      </c>
      <c r="T10" s="21">
        <v>24.5</v>
      </c>
      <c r="U10" s="22" t="s">
        <v>93</v>
      </c>
      <c r="V10" s="23">
        <v>840</v>
      </c>
      <c r="W10" s="24"/>
      <c r="X10" s="25">
        <v>850</v>
      </c>
      <c r="Y10" s="25">
        <v>965</v>
      </c>
      <c r="Z10" s="25">
        <v>980</v>
      </c>
      <c r="AA10" s="25">
        <v>700</v>
      </c>
      <c r="AB10" s="25">
        <v>700</v>
      </c>
      <c r="AC10" s="26"/>
      <c r="AD10" s="26"/>
      <c r="AE10" s="22">
        <v>1100</v>
      </c>
      <c r="AF10" s="17" t="s">
        <v>93</v>
      </c>
      <c r="AG10" s="17" t="s">
        <v>93</v>
      </c>
      <c r="AH10" s="17" t="s">
        <v>93</v>
      </c>
      <c r="AI10" s="17"/>
      <c r="AJ10" s="19">
        <v>1110</v>
      </c>
      <c r="AK10" s="19">
        <v>35.299999999999997</v>
      </c>
      <c r="AL10" s="27">
        <v>0</v>
      </c>
      <c r="AM10" s="14" t="s">
        <v>128</v>
      </c>
      <c r="AN10" s="22" t="s">
        <v>93</v>
      </c>
      <c r="AO10" s="5" t="s">
        <v>129</v>
      </c>
      <c r="AP10" s="28" t="s">
        <v>93</v>
      </c>
      <c r="AQ10" s="29" t="str">
        <f t="shared" si="1"/>
        <v>20G10Y(20Xanhlácây10Vàng)</v>
      </c>
      <c r="AR10" s="29" t="str">
        <f t="shared" si="2"/>
        <v>20G10Y</v>
      </c>
    </row>
    <row r="11" spans="1:45" ht="42" customHeight="1">
      <c r="A11" s="1">
        <v>329</v>
      </c>
      <c r="B11" s="12" t="s">
        <v>130</v>
      </c>
      <c r="C11" s="13" t="s">
        <v>802</v>
      </c>
      <c r="D11" s="14" t="s">
        <v>107</v>
      </c>
      <c r="E11" s="15">
        <v>38</v>
      </c>
      <c r="F11" s="15" t="s">
        <v>86</v>
      </c>
      <c r="G11" s="15" t="s">
        <v>87</v>
      </c>
      <c r="H11" s="14" t="s">
        <v>121</v>
      </c>
      <c r="I11" s="16" t="s">
        <v>93</v>
      </c>
      <c r="J11" s="17" t="s">
        <v>89</v>
      </c>
      <c r="K11" s="17" t="s">
        <v>90</v>
      </c>
      <c r="L11" s="17" t="s">
        <v>122</v>
      </c>
      <c r="M11" s="18" t="s">
        <v>790</v>
      </c>
      <c r="N11" s="18" t="s">
        <v>790</v>
      </c>
      <c r="O11" s="18">
        <v>1440</v>
      </c>
      <c r="P11" s="18">
        <v>168</v>
      </c>
      <c r="Q11" s="19">
        <v>1190</v>
      </c>
      <c r="R11" s="20"/>
      <c r="S11" s="21">
        <v>19</v>
      </c>
      <c r="T11" s="21">
        <v>24.5</v>
      </c>
      <c r="U11" s="22" t="s">
        <v>93</v>
      </c>
      <c r="V11" s="23">
        <v>945</v>
      </c>
      <c r="W11" s="24"/>
      <c r="X11" s="25">
        <v>760</v>
      </c>
      <c r="Y11" s="25">
        <v>965</v>
      </c>
      <c r="Z11" s="25">
        <v>980</v>
      </c>
      <c r="AA11" s="25">
        <v>700</v>
      </c>
      <c r="AB11" s="25">
        <v>700</v>
      </c>
      <c r="AC11" s="26"/>
      <c r="AD11" s="26"/>
      <c r="AE11" s="22">
        <v>1175</v>
      </c>
      <c r="AF11" s="17" t="s">
        <v>93</v>
      </c>
      <c r="AG11" s="17" t="s">
        <v>93</v>
      </c>
      <c r="AH11" s="17" t="s">
        <v>93</v>
      </c>
      <c r="AI11" s="17"/>
      <c r="AJ11" s="19">
        <v>1190</v>
      </c>
      <c r="AK11" s="19">
        <v>34.699999999999996</v>
      </c>
      <c r="AL11" s="27">
        <v>0</v>
      </c>
      <c r="AM11" s="14" t="s">
        <v>131</v>
      </c>
      <c r="AN11" s="22" t="s">
        <v>93</v>
      </c>
      <c r="AO11" s="5" t="s">
        <v>132</v>
      </c>
      <c r="AP11" s="28" t="s">
        <v>93</v>
      </c>
      <c r="AQ11" s="29" t="str">
        <f t="shared" si="1"/>
        <v>10B15W(10XDT15Trắng)</v>
      </c>
      <c r="AR11" s="29" t="str">
        <f t="shared" si="2"/>
        <v>10B15W</v>
      </c>
    </row>
    <row r="12" spans="1:45" ht="42" customHeight="1">
      <c r="A12" s="1">
        <v>330</v>
      </c>
      <c r="B12" s="12" t="s">
        <v>133</v>
      </c>
      <c r="C12" s="13" t="s">
        <v>803</v>
      </c>
      <c r="D12" s="14" t="s">
        <v>107</v>
      </c>
      <c r="E12" s="15">
        <v>43</v>
      </c>
      <c r="F12" s="15" t="s">
        <v>86</v>
      </c>
      <c r="G12" s="15" t="s">
        <v>116</v>
      </c>
      <c r="H12" s="14" t="s">
        <v>121</v>
      </c>
      <c r="I12" s="16" t="s">
        <v>93</v>
      </c>
      <c r="J12" s="17" t="s">
        <v>89</v>
      </c>
      <c r="K12" s="17" t="s">
        <v>90</v>
      </c>
      <c r="L12" s="17" t="s">
        <v>122</v>
      </c>
      <c r="M12" s="18" t="s">
        <v>790</v>
      </c>
      <c r="N12" s="18" t="s">
        <v>790</v>
      </c>
      <c r="O12" s="18">
        <v>1440</v>
      </c>
      <c r="P12" s="18">
        <v>168</v>
      </c>
      <c r="Q12" s="19">
        <v>1190</v>
      </c>
      <c r="R12" s="20"/>
      <c r="S12" s="21">
        <v>24</v>
      </c>
      <c r="T12" s="21">
        <v>33</v>
      </c>
      <c r="U12" s="22" t="s">
        <v>93</v>
      </c>
      <c r="V12" s="23">
        <v>945</v>
      </c>
      <c r="W12" s="24"/>
      <c r="X12" s="25">
        <v>840</v>
      </c>
      <c r="Y12" s="25">
        <v>950</v>
      </c>
      <c r="Z12" s="25">
        <v>980</v>
      </c>
      <c r="AA12" s="25">
        <v>680</v>
      </c>
      <c r="AB12" s="25">
        <v>680</v>
      </c>
      <c r="AC12" s="26"/>
      <c r="AD12" s="26"/>
      <c r="AE12" s="22">
        <v>1220</v>
      </c>
      <c r="AF12" s="17" t="s">
        <v>93</v>
      </c>
      <c r="AG12" s="17" t="s">
        <v>93</v>
      </c>
      <c r="AH12" s="17" t="s">
        <v>93</v>
      </c>
      <c r="AI12" s="17"/>
      <c r="AJ12" s="19">
        <v>1190</v>
      </c>
      <c r="AK12" s="19">
        <v>34.699999999999996</v>
      </c>
      <c r="AL12" s="27">
        <v>0</v>
      </c>
      <c r="AM12" s="14" t="s">
        <v>134</v>
      </c>
      <c r="AN12" s="22" t="s">
        <v>135</v>
      </c>
      <c r="AO12" s="5" t="s">
        <v>132</v>
      </c>
      <c r="AP12" s="28" t="s">
        <v>93</v>
      </c>
      <c r="AQ12" s="29" t="str">
        <f t="shared" si="1"/>
        <v>15G10V(15Xanhlácây10Tím)</v>
      </c>
      <c r="AR12" s="29" t="str">
        <f t="shared" si="2"/>
        <v>15G10V</v>
      </c>
    </row>
    <row r="13" spans="1:45" ht="42" customHeight="1">
      <c r="A13" s="1">
        <v>331</v>
      </c>
      <c r="B13" s="12" t="s">
        <v>136</v>
      </c>
      <c r="C13" s="13" t="s">
        <v>804</v>
      </c>
      <c r="D13" s="14" t="s">
        <v>107</v>
      </c>
      <c r="E13" s="15">
        <v>38</v>
      </c>
      <c r="F13" s="15" t="s">
        <v>86</v>
      </c>
      <c r="G13" s="15" t="s">
        <v>87</v>
      </c>
      <c r="H13" s="14" t="s">
        <v>137</v>
      </c>
      <c r="I13" s="16" t="s">
        <v>93</v>
      </c>
      <c r="J13" s="17" t="s">
        <v>89</v>
      </c>
      <c r="K13" s="17" t="s">
        <v>90</v>
      </c>
      <c r="L13" s="17" t="s">
        <v>122</v>
      </c>
      <c r="M13" s="18" t="s">
        <v>790</v>
      </c>
      <c r="N13" s="18" t="s">
        <v>790</v>
      </c>
      <c r="O13" s="18">
        <v>1440</v>
      </c>
      <c r="P13" s="18">
        <v>168</v>
      </c>
      <c r="Q13" s="19">
        <v>1190</v>
      </c>
      <c r="R13" s="20"/>
      <c r="S13" s="21">
        <v>24</v>
      </c>
      <c r="T13" s="21">
        <v>33</v>
      </c>
      <c r="U13" s="22" t="s">
        <v>93</v>
      </c>
      <c r="V13" s="23">
        <v>981</v>
      </c>
      <c r="W13" s="24"/>
      <c r="X13" s="25">
        <v>840</v>
      </c>
      <c r="Y13" s="25">
        <v>950</v>
      </c>
      <c r="Z13" s="25">
        <v>980</v>
      </c>
      <c r="AA13" s="25">
        <v>680</v>
      </c>
      <c r="AB13" s="25">
        <v>680</v>
      </c>
      <c r="AC13" s="26"/>
      <c r="AD13" s="26"/>
      <c r="AE13" s="22">
        <v>1220</v>
      </c>
      <c r="AF13" s="17" t="s">
        <v>93</v>
      </c>
      <c r="AG13" s="17" t="s">
        <v>93</v>
      </c>
      <c r="AH13" s="17" t="s">
        <v>93</v>
      </c>
      <c r="AI13" s="17"/>
      <c r="AJ13" s="19">
        <v>1190</v>
      </c>
      <c r="AK13" s="19">
        <v>34.699999999999996</v>
      </c>
      <c r="AL13" s="27">
        <v>0</v>
      </c>
      <c r="AM13" s="14" t="s">
        <v>138</v>
      </c>
      <c r="AN13" s="22" t="s">
        <v>93</v>
      </c>
      <c r="AO13" s="5" t="s">
        <v>139</v>
      </c>
      <c r="AP13" s="28" t="s">
        <v>93</v>
      </c>
      <c r="AQ13" s="29" t="str">
        <f t="shared" si="1"/>
        <v>15B10G(15XDT10Xanhlácây)</v>
      </c>
      <c r="AR13" s="29" t="str">
        <f t="shared" si="2"/>
        <v>15B10G</v>
      </c>
    </row>
    <row r="14" spans="1:45" ht="42" customHeight="1">
      <c r="A14" s="1">
        <v>332</v>
      </c>
      <c r="B14" s="12" t="s">
        <v>140</v>
      </c>
      <c r="C14" s="13" t="s">
        <v>805</v>
      </c>
      <c r="D14" s="14" t="s">
        <v>107</v>
      </c>
      <c r="E14" s="15">
        <v>38</v>
      </c>
      <c r="F14" s="15" t="s">
        <v>86</v>
      </c>
      <c r="G14" s="15" t="s">
        <v>87</v>
      </c>
      <c r="H14" s="14" t="s">
        <v>141</v>
      </c>
      <c r="I14" s="16" t="s">
        <v>93</v>
      </c>
      <c r="J14" s="17" t="s">
        <v>89</v>
      </c>
      <c r="K14" s="17" t="s">
        <v>90</v>
      </c>
      <c r="L14" s="17" t="s">
        <v>142</v>
      </c>
      <c r="M14" s="18" t="s">
        <v>790</v>
      </c>
      <c r="N14" s="18" t="s">
        <v>790</v>
      </c>
      <c r="O14" s="18">
        <v>1430</v>
      </c>
      <c r="P14" s="18">
        <v>168</v>
      </c>
      <c r="Q14" s="19">
        <v>1170</v>
      </c>
      <c r="R14" s="20"/>
      <c r="S14" s="21">
        <v>17</v>
      </c>
      <c r="T14" s="21">
        <v>22.5</v>
      </c>
      <c r="U14" s="22" t="s">
        <v>93</v>
      </c>
      <c r="V14" s="23">
        <v>920</v>
      </c>
      <c r="W14" s="24"/>
      <c r="X14" s="25">
        <v>800</v>
      </c>
      <c r="Y14" s="25">
        <v>950</v>
      </c>
      <c r="Z14" s="25">
        <v>980</v>
      </c>
      <c r="AA14" s="25">
        <v>700</v>
      </c>
      <c r="AB14" s="25">
        <v>700</v>
      </c>
      <c r="AC14" s="26"/>
      <c r="AD14" s="26"/>
      <c r="AE14" s="22">
        <v>1110</v>
      </c>
      <c r="AF14" s="17" t="s">
        <v>93</v>
      </c>
      <c r="AG14" s="17" t="s">
        <v>93</v>
      </c>
      <c r="AH14" s="17" t="s">
        <v>93</v>
      </c>
      <c r="AI14" s="17"/>
      <c r="AJ14" s="19">
        <v>1170</v>
      </c>
      <c r="AK14" s="19">
        <v>35.1</v>
      </c>
      <c r="AL14" s="27">
        <v>0</v>
      </c>
      <c r="AM14" s="14" t="s">
        <v>143</v>
      </c>
      <c r="AN14" s="22" t="s">
        <v>93</v>
      </c>
      <c r="AO14" s="5" t="s">
        <v>144</v>
      </c>
      <c r="AP14" s="28" t="s">
        <v>93</v>
      </c>
      <c r="AQ14" s="29" t="str">
        <f t="shared" si="1"/>
        <v>10R10R(10Đỏ10Đỏ)</v>
      </c>
      <c r="AR14" s="29" t="str">
        <f t="shared" si="2"/>
        <v>10R10R</v>
      </c>
    </row>
    <row r="15" spans="1:45" ht="42" customHeight="1">
      <c r="A15" s="1">
        <v>333</v>
      </c>
      <c r="B15" s="12" t="s">
        <v>145</v>
      </c>
      <c r="C15" s="13" t="s">
        <v>806</v>
      </c>
      <c r="D15" s="14" t="s">
        <v>107</v>
      </c>
      <c r="E15" s="15">
        <v>38</v>
      </c>
      <c r="F15" s="15" t="s">
        <v>86</v>
      </c>
      <c r="G15" s="15" t="s">
        <v>87</v>
      </c>
      <c r="H15" s="14" t="s">
        <v>141</v>
      </c>
      <c r="I15" s="16" t="s">
        <v>93</v>
      </c>
      <c r="J15" s="17" t="s">
        <v>89</v>
      </c>
      <c r="K15" s="17" t="s">
        <v>90</v>
      </c>
      <c r="L15" s="17" t="s">
        <v>142</v>
      </c>
      <c r="M15" s="18" t="s">
        <v>790</v>
      </c>
      <c r="N15" s="18" t="s">
        <v>790</v>
      </c>
      <c r="O15" s="18">
        <v>1435</v>
      </c>
      <c r="P15" s="18">
        <v>168</v>
      </c>
      <c r="Q15" s="19">
        <v>1170</v>
      </c>
      <c r="R15" s="20"/>
      <c r="S15" s="21">
        <v>11.5</v>
      </c>
      <c r="T15" s="21">
        <v>15.7</v>
      </c>
      <c r="U15" s="22" t="s">
        <v>93</v>
      </c>
      <c r="V15" s="23">
        <v>640</v>
      </c>
      <c r="W15" s="24"/>
      <c r="X15" s="25">
        <v>790</v>
      </c>
      <c r="Y15" s="25">
        <v>950</v>
      </c>
      <c r="Z15" s="25">
        <v>980</v>
      </c>
      <c r="AA15" s="25">
        <v>700</v>
      </c>
      <c r="AB15" s="25">
        <v>700</v>
      </c>
      <c r="AC15" s="26"/>
      <c r="AD15" s="26"/>
      <c r="AE15" s="22">
        <v>1110</v>
      </c>
      <c r="AF15" s="17" t="s">
        <v>93</v>
      </c>
      <c r="AG15" s="17" t="s">
        <v>93</v>
      </c>
      <c r="AH15" s="17" t="s">
        <v>93</v>
      </c>
      <c r="AI15" s="17"/>
      <c r="AJ15" s="19">
        <v>1170</v>
      </c>
      <c r="AK15" s="19">
        <v>35.1</v>
      </c>
      <c r="AL15" s="27">
        <v>0</v>
      </c>
      <c r="AM15" s="14" t="s">
        <v>146</v>
      </c>
      <c r="AN15" s="22" t="s">
        <v>93</v>
      </c>
      <c r="AO15" s="5" t="s">
        <v>147</v>
      </c>
      <c r="AP15" s="28" t="s">
        <v>93</v>
      </c>
      <c r="AQ15" s="29" t="str">
        <f t="shared" si="1"/>
        <v>10R10G(10Đỏ10Xanhlácây)</v>
      </c>
      <c r="AR15" s="29" t="str">
        <f t="shared" si="2"/>
        <v>10R10G</v>
      </c>
    </row>
    <row r="16" spans="1:45" ht="42" customHeight="1">
      <c r="A16" s="1">
        <v>334</v>
      </c>
      <c r="B16" s="12" t="s">
        <v>148</v>
      </c>
      <c r="C16" s="13" t="s">
        <v>807</v>
      </c>
      <c r="D16" s="14" t="s">
        <v>149</v>
      </c>
      <c r="E16" s="15">
        <v>41</v>
      </c>
      <c r="F16" s="15" t="s">
        <v>150</v>
      </c>
      <c r="G16" s="15" t="s">
        <v>87</v>
      </c>
      <c r="H16" s="14" t="s">
        <v>141</v>
      </c>
      <c r="I16" s="16" t="s">
        <v>93</v>
      </c>
      <c r="J16" s="17" t="s">
        <v>89</v>
      </c>
      <c r="K16" s="17" t="s">
        <v>90</v>
      </c>
      <c r="L16" s="17" t="s">
        <v>151</v>
      </c>
      <c r="M16" s="18" t="s">
        <v>790</v>
      </c>
      <c r="N16" s="18" t="s">
        <v>790</v>
      </c>
      <c r="O16" s="18">
        <v>1440</v>
      </c>
      <c r="P16" s="18">
        <v>194</v>
      </c>
      <c r="Q16" s="19">
        <v>1505</v>
      </c>
      <c r="R16" s="20"/>
      <c r="S16" s="21">
        <v>22</v>
      </c>
      <c r="T16" s="21">
        <v>29.9</v>
      </c>
      <c r="U16" s="22" t="s">
        <v>93</v>
      </c>
      <c r="V16" s="23">
        <v>939</v>
      </c>
      <c r="W16" s="24"/>
      <c r="X16" s="25">
        <v>830</v>
      </c>
      <c r="Y16" s="25">
        <v>950</v>
      </c>
      <c r="Z16" s="25">
        <v>980</v>
      </c>
      <c r="AA16" s="25">
        <v>700</v>
      </c>
      <c r="AB16" s="25">
        <v>700</v>
      </c>
      <c r="AC16" s="26"/>
      <c r="AD16" s="26"/>
      <c r="AE16" s="22">
        <v>1440</v>
      </c>
      <c r="AF16" s="17" t="s">
        <v>93</v>
      </c>
      <c r="AG16" s="17" t="s">
        <v>93</v>
      </c>
      <c r="AH16" s="17" t="s">
        <v>93</v>
      </c>
      <c r="AI16" s="17"/>
      <c r="AJ16" s="19">
        <v>1505</v>
      </c>
      <c r="AK16" s="19">
        <v>45.15</v>
      </c>
      <c r="AL16" s="27">
        <v>0</v>
      </c>
      <c r="AM16" s="14" t="s">
        <v>152</v>
      </c>
      <c r="AN16" s="22" t="s">
        <v>93</v>
      </c>
      <c r="AO16" s="5" t="s">
        <v>153</v>
      </c>
      <c r="AP16" s="28" t="s">
        <v>93</v>
      </c>
      <c r="AQ16" s="29" t="str">
        <f t="shared" si="1"/>
        <v>15W(15Trắng)</v>
      </c>
      <c r="AR16" s="29" t="str">
        <f t="shared" si="2"/>
        <v>15W</v>
      </c>
    </row>
    <row r="17" spans="1:44" ht="42" customHeight="1">
      <c r="A17" s="1">
        <v>335</v>
      </c>
      <c r="B17" s="12" t="s">
        <v>154</v>
      </c>
      <c r="C17" s="13" t="s">
        <v>808</v>
      </c>
      <c r="D17" s="14" t="s">
        <v>149</v>
      </c>
      <c r="E17" s="15">
        <v>41</v>
      </c>
      <c r="F17" s="15" t="s">
        <v>150</v>
      </c>
      <c r="G17" s="15" t="s">
        <v>87</v>
      </c>
      <c r="H17" s="14" t="s">
        <v>141</v>
      </c>
      <c r="I17" s="16" t="s">
        <v>93</v>
      </c>
      <c r="J17" s="17" t="s">
        <v>89</v>
      </c>
      <c r="K17" s="17" t="s">
        <v>90</v>
      </c>
      <c r="L17" s="17" t="s">
        <v>151</v>
      </c>
      <c r="M17" s="18" t="s">
        <v>790</v>
      </c>
      <c r="N17" s="18" t="s">
        <v>790</v>
      </c>
      <c r="O17" s="18">
        <v>1440</v>
      </c>
      <c r="P17" s="18">
        <v>194</v>
      </c>
      <c r="Q17" s="19">
        <v>1505</v>
      </c>
      <c r="R17" s="20"/>
      <c r="S17" s="21">
        <v>22</v>
      </c>
      <c r="T17" s="21">
        <v>29.9</v>
      </c>
      <c r="U17" s="22" t="s">
        <v>93</v>
      </c>
      <c r="V17" s="23">
        <v>939</v>
      </c>
      <c r="W17" s="24"/>
      <c r="X17" s="25">
        <v>830</v>
      </c>
      <c r="Y17" s="25">
        <v>950</v>
      </c>
      <c r="Z17" s="25">
        <v>980</v>
      </c>
      <c r="AA17" s="25">
        <v>700</v>
      </c>
      <c r="AB17" s="25">
        <v>700</v>
      </c>
      <c r="AC17" s="26"/>
      <c r="AD17" s="26"/>
      <c r="AE17" s="22">
        <v>1440</v>
      </c>
      <c r="AF17" s="17" t="s">
        <v>93</v>
      </c>
      <c r="AG17" s="17" t="s">
        <v>93</v>
      </c>
      <c r="AH17" s="17" t="s">
        <v>93</v>
      </c>
      <c r="AI17" s="17"/>
      <c r="AJ17" s="19">
        <v>1505</v>
      </c>
      <c r="AK17" s="19">
        <v>45.15</v>
      </c>
      <c r="AL17" s="27">
        <v>0</v>
      </c>
      <c r="AM17" s="14" t="s">
        <v>155</v>
      </c>
      <c r="AN17" s="22" t="s">
        <v>93</v>
      </c>
      <c r="AO17" s="5" t="s">
        <v>156</v>
      </c>
      <c r="AP17" s="28" t="s">
        <v>93</v>
      </c>
      <c r="AQ17" s="29" t="str">
        <f t="shared" si="1"/>
        <v>10V15W(10Tím15Trắng)</v>
      </c>
      <c r="AR17" s="29" t="str">
        <f t="shared" si="2"/>
        <v>10V15W</v>
      </c>
    </row>
    <row r="18" spans="1:44" ht="42" customHeight="1">
      <c r="A18" s="1">
        <v>336</v>
      </c>
      <c r="B18" s="12" t="s">
        <v>157</v>
      </c>
      <c r="C18" s="13" t="s">
        <v>809</v>
      </c>
      <c r="D18" s="14" t="s">
        <v>149</v>
      </c>
      <c r="E18" s="15">
        <v>41</v>
      </c>
      <c r="F18" s="15" t="s">
        <v>150</v>
      </c>
      <c r="G18" s="15" t="s">
        <v>87</v>
      </c>
      <c r="H18" s="14" t="s">
        <v>158</v>
      </c>
      <c r="I18" s="16" t="s">
        <v>93</v>
      </c>
      <c r="J18" s="17" t="s">
        <v>89</v>
      </c>
      <c r="K18" s="17" t="s">
        <v>90</v>
      </c>
      <c r="L18" s="17" t="s">
        <v>151</v>
      </c>
      <c r="M18" s="18" t="s">
        <v>790</v>
      </c>
      <c r="N18" s="18" t="s">
        <v>790</v>
      </c>
      <c r="O18" s="18">
        <v>1440</v>
      </c>
      <c r="P18" s="18">
        <v>194</v>
      </c>
      <c r="Q18" s="19">
        <v>1505</v>
      </c>
      <c r="R18" s="20"/>
      <c r="S18" s="21">
        <v>22.5</v>
      </c>
      <c r="T18" s="21">
        <v>30.7</v>
      </c>
      <c r="U18" s="22" t="s">
        <v>93</v>
      </c>
      <c r="V18" s="23">
        <v>939</v>
      </c>
      <c r="W18" s="24"/>
      <c r="X18" s="25">
        <v>830</v>
      </c>
      <c r="Y18" s="25">
        <v>950</v>
      </c>
      <c r="Z18" s="25">
        <v>980</v>
      </c>
      <c r="AA18" s="25">
        <v>700</v>
      </c>
      <c r="AB18" s="25">
        <v>700</v>
      </c>
      <c r="AC18" s="26"/>
      <c r="AD18" s="26"/>
      <c r="AE18" s="22">
        <v>1440</v>
      </c>
      <c r="AF18" s="17" t="s">
        <v>93</v>
      </c>
      <c r="AG18" s="17" t="s">
        <v>93</v>
      </c>
      <c r="AH18" s="17" t="s">
        <v>93</v>
      </c>
      <c r="AI18" s="17"/>
      <c r="AJ18" s="19">
        <v>1505</v>
      </c>
      <c r="AK18" s="19">
        <v>45.15</v>
      </c>
      <c r="AL18" s="27">
        <v>0</v>
      </c>
      <c r="AM18" s="14" t="s">
        <v>159</v>
      </c>
      <c r="AN18" s="22" t="s">
        <v>93</v>
      </c>
      <c r="AO18" s="5" t="s">
        <v>160</v>
      </c>
      <c r="AP18" s="28" t="s">
        <v>93</v>
      </c>
      <c r="AQ18" s="29" t="str">
        <f t="shared" si="1"/>
        <v>15B(15XDT)</v>
      </c>
      <c r="AR18" s="29" t="str">
        <f t="shared" si="2"/>
        <v>15B</v>
      </c>
    </row>
    <row r="19" spans="1:44" ht="42" customHeight="1">
      <c r="A19" s="1">
        <v>337</v>
      </c>
      <c r="B19" s="12" t="s">
        <v>161</v>
      </c>
      <c r="C19" s="13" t="s">
        <v>810</v>
      </c>
      <c r="D19" s="14" t="s">
        <v>149</v>
      </c>
      <c r="E19" s="15">
        <v>41</v>
      </c>
      <c r="F19" s="15" t="s">
        <v>150</v>
      </c>
      <c r="G19" s="15" t="s">
        <v>87</v>
      </c>
      <c r="H19" s="14" t="s">
        <v>158</v>
      </c>
      <c r="I19" s="16" t="s">
        <v>93</v>
      </c>
      <c r="J19" s="17" t="s">
        <v>89</v>
      </c>
      <c r="K19" s="17" t="s">
        <v>90</v>
      </c>
      <c r="L19" s="17" t="s">
        <v>151</v>
      </c>
      <c r="M19" s="18" t="s">
        <v>790</v>
      </c>
      <c r="N19" s="18" t="s">
        <v>790</v>
      </c>
      <c r="O19" s="18">
        <v>1440</v>
      </c>
      <c r="P19" s="18">
        <v>194</v>
      </c>
      <c r="Q19" s="19">
        <v>1505</v>
      </c>
      <c r="R19" s="20"/>
      <c r="S19" s="21">
        <v>22</v>
      </c>
      <c r="T19" s="21">
        <v>29.9</v>
      </c>
      <c r="U19" s="22" t="s">
        <v>93</v>
      </c>
      <c r="V19" s="23">
        <v>939</v>
      </c>
      <c r="W19" s="24"/>
      <c r="X19" s="25">
        <v>830</v>
      </c>
      <c r="Y19" s="25">
        <v>950</v>
      </c>
      <c r="Z19" s="25">
        <v>980</v>
      </c>
      <c r="AA19" s="25">
        <v>700</v>
      </c>
      <c r="AB19" s="25">
        <v>700</v>
      </c>
      <c r="AC19" s="26"/>
      <c r="AD19" s="26"/>
      <c r="AE19" s="22">
        <v>1440</v>
      </c>
      <c r="AF19" s="17" t="s">
        <v>93</v>
      </c>
      <c r="AG19" s="17" t="s">
        <v>93</v>
      </c>
      <c r="AH19" s="17" t="s">
        <v>93</v>
      </c>
      <c r="AI19" s="17"/>
      <c r="AJ19" s="19">
        <v>1505</v>
      </c>
      <c r="AK19" s="19">
        <v>45.15</v>
      </c>
      <c r="AL19" s="27">
        <v>0</v>
      </c>
      <c r="AM19" s="14" t="s">
        <v>162</v>
      </c>
      <c r="AN19" s="22" t="s">
        <v>93</v>
      </c>
      <c r="AO19" s="5" t="s">
        <v>163</v>
      </c>
      <c r="AP19" s="28" t="s">
        <v>93</v>
      </c>
      <c r="AQ19" s="29" t="str">
        <f t="shared" si="1"/>
        <v>10B15Y(10XDT15Vàng)</v>
      </c>
      <c r="AR19" s="29" t="str">
        <f t="shared" si="2"/>
        <v>10B15Y</v>
      </c>
    </row>
    <row r="20" spans="1:44" ht="42" customHeight="1">
      <c r="A20" s="1">
        <v>338</v>
      </c>
      <c r="B20" s="12" t="s">
        <v>164</v>
      </c>
      <c r="C20" s="13" t="s">
        <v>811</v>
      </c>
      <c r="D20" s="14" t="s">
        <v>165</v>
      </c>
      <c r="E20" s="15">
        <v>53</v>
      </c>
      <c r="F20" s="15" t="s">
        <v>166</v>
      </c>
      <c r="G20" s="32" t="s">
        <v>93</v>
      </c>
      <c r="H20" s="14" t="s">
        <v>167</v>
      </c>
      <c r="I20" s="33" t="s">
        <v>30</v>
      </c>
      <c r="J20" s="17" t="s">
        <v>89</v>
      </c>
      <c r="K20" s="17" t="s">
        <v>90</v>
      </c>
      <c r="L20" s="17" t="s">
        <v>168</v>
      </c>
      <c r="M20" s="18" t="s">
        <v>790</v>
      </c>
      <c r="N20" s="18" t="s">
        <v>790</v>
      </c>
      <c r="O20" s="18">
        <v>895</v>
      </c>
      <c r="P20" s="18">
        <v>245</v>
      </c>
      <c r="Q20" s="19">
        <v>1775</v>
      </c>
      <c r="R20" s="20"/>
      <c r="S20" s="21">
        <v>26</v>
      </c>
      <c r="T20" s="21">
        <v>36.6</v>
      </c>
      <c r="U20" s="22" t="s">
        <v>93</v>
      </c>
      <c r="V20" s="23">
        <v>700</v>
      </c>
      <c r="W20" s="24"/>
      <c r="X20" s="25">
        <v>680</v>
      </c>
      <c r="Y20" s="25">
        <v>970</v>
      </c>
      <c r="Z20" s="25">
        <v>980</v>
      </c>
      <c r="AA20" s="25">
        <v>700</v>
      </c>
      <c r="AB20" s="25">
        <v>700</v>
      </c>
      <c r="AC20" s="26"/>
      <c r="AD20" s="26"/>
      <c r="AE20" s="22">
        <v>1640</v>
      </c>
      <c r="AF20" s="17" t="s">
        <v>93</v>
      </c>
      <c r="AG20" s="17" t="s">
        <v>93</v>
      </c>
      <c r="AH20" s="17" t="s">
        <v>93</v>
      </c>
      <c r="AI20" s="17"/>
      <c r="AJ20" s="19">
        <v>1775</v>
      </c>
      <c r="AK20" s="19">
        <v>55.25</v>
      </c>
      <c r="AL20" s="27">
        <v>0</v>
      </c>
      <c r="AM20" s="14" t="s">
        <v>113</v>
      </c>
      <c r="AN20" s="22" t="s">
        <v>93</v>
      </c>
      <c r="AO20" s="5" t="s">
        <v>169</v>
      </c>
      <c r="AP20" s="28" t="s">
        <v>93</v>
      </c>
      <c r="AQ20" s="29" t="str">
        <f t="shared" si="1"/>
        <v>15R(15Đỏ)</v>
      </c>
      <c r="AR20" s="29" t="str">
        <f t="shared" si="2"/>
        <v>15R</v>
      </c>
    </row>
    <row r="21" spans="1:44" ht="42" customHeight="1">
      <c r="A21" s="1">
        <v>339</v>
      </c>
      <c r="B21" s="12" t="s">
        <v>170</v>
      </c>
      <c r="C21" s="13" t="s">
        <v>812</v>
      </c>
      <c r="D21" s="14" t="s">
        <v>165</v>
      </c>
      <c r="E21" s="15">
        <v>53</v>
      </c>
      <c r="F21" s="15" t="s">
        <v>166</v>
      </c>
      <c r="G21" s="32" t="s">
        <v>93</v>
      </c>
      <c r="H21" s="14" t="s">
        <v>171</v>
      </c>
      <c r="I21" s="33" t="s">
        <v>30</v>
      </c>
      <c r="J21" s="17" t="s">
        <v>89</v>
      </c>
      <c r="K21" s="17" t="s">
        <v>90</v>
      </c>
      <c r="L21" s="17" t="s">
        <v>168</v>
      </c>
      <c r="M21" s="18" t="s">
        <v>790</v>
      </c>
      <c r="N21" s="18" t="s">
        <v>790</v>
      </c>
      <c r="O21" s="18">
        <v>895</v>
      </c>
      <c r="P21" s="18">
        <v>245</v>
      </c>
      <c r="Q21" s="19">
        <v>1775</v>
      </c>
      <c r="R21" s="20"/>
      <c r="S21" s="21">
        <v>26</v>
      </c>
      <c r="T21" s="21">
        <v>36.6</v>
      </c>
      <c r="U21" s="22" t="s">
        <v>93</v>
      </c>
      <c r="V21" s="23">
        <v>700</v>
      </c>
      <c r="W21" s="24"/>
      <c r="X21" s="25">
        <v>680</v>
      </c>
      <c r="Y21" s="25">
        <v>970</v>
      </c>
      <c r="Z21" s="25">
        <v>980</v>
      </c>
      <c r="AA21" s="25">
        <v>700</v>
      </c>
      <c r="AB21" s="25">
        <v>700</v>
      </c>
      <c r="AC21" s="26"/>
      <c r="AD21" s="26"/>
      <c r="AE21" s="22">
        <v>1770</v>
      </c>
      <c r="AF21" s="17" t="s">
        <v>93</v>
      </c>
      <c r="AG21" s="17" t="s">
        <v>93</v>
      </c>
      <c r="AH21" s="17" t="s">
        <v>93</v>
      </c>
      <c r="AI21" s="17"/>
      <c r="AJ21" s="19">
        <v>1775</v>
      </c>
      <c r="AK21" s="19">
        <v>55.25</v>
      </c>
      <c r="AL21" s="27">
        <v>0</v>
      </c>
      <c r="AM21" s="14" t="s">
        <v>159</v>
      </c>
      <c r="AN21" s="34" t="s">
        <v>172</v>
      </c>
      <c r="AO21" s="5" t="s">
        <v>173</v>
      </c>
      <c r="AP21" s="28" t="s">
        <v>93</v>
      </c>
      <c r="AQ21" s="29" t="str">
        <f t="shared" si="1"/>
        <v>15B(15XDT)</v>
      </c>
      <c r="AR21" s="29" t="str">
        <f t="shared" si="2"/>
        <v>15B</v>
      </c>
    </row>
    <row r="22" spans="1:44" ht="42" customHeight="1">
      <c r="A22" s="1">
        <v>340</v>
      </c>
      <c r="B22" s="12" t="s">
        <v>174</v>
      </c>
      <c r="C22" s="13" t="s">
        <v>813</v>
      </c>
      <c r="D22" s="14" t="s">
        <v>165</v>
      </c>
      <c r="E22" s="15">
        <v>53</v>
      </c>
      <c r="F22" s="15" t="s">
        <v>166</v>
      </c>
      <c r="G22" s="32" t="s">
        <v>93</v>
      </c>
      <c r="H22" s="14" t="s">
        <v>175</v>
      </c>
      <c r="I22" s="33" t="s">
        <v>30</v>
      </c>
      <c r="J22" s="17" t="s">
        <v>89</v>
      </c>
      <c r="K22" s="17" t="s">
        <v>90</v>
      </c>
      <c r="L22" s="17" t="s">
        <v>176</v>
      </c>
      <c r="M22" s="18" t="s">
        <v>790</v>
      </c>
      <c r="N22" s="18" t="s">
        <v>790</v>
      </c>
      <c r="O22" s="18">
        <v>895</v>
      </c>
      <c r="P22" s="18">
        <v>245</v>
      </c>
      <c r="Q22" s="19">
        <v>1670</v>
      </c>
      <c r="R22" s="20"/>
      <c r="S22" s="21">
        <v>24.8</v>
      </c>
      <c r="T22" s="21">
        <v>34.799999999999997</v>
      </c>
      <c r="U22" s="22" t="s">
        <v>93</v>
      </c>
      <c r="V22" s="22">
        <v>660</v>
      </c>
      <c r="W22" s="24"/>
      <c r="X22" s="35">
        <v>740</v>
      </c>
      <c r="Y22" s="35">
        <v>950</v>
      </c>
      <c r="Z22" s="35">
        <v>980</v>
      </c>
      <c r="AA22" s="25">
        <v>700</v>
      </c>
      <c r="AB22" s="35">
        <v>700</v>
      </c>
      <c r="AC22" s="36"/>
      <c r="AD22" s="36"/>
      <c r="AE22" s="22">
        <v>1550</v>
      </c>
      <c r="AF22" s="17" t="s">
        <v>93</v>
      </c>
      <c r="AG22" s="17" t="s">
        <v>93</v>
      </c>
      <c r="AH22" s="17" t="s">
        <v>93</v>
      </c>
      <c r="AI22" s="17"/>
      <c r="AJ22" s="19">
        <v>1670</v>
      </c>
      <c r="AK22" s="19">
        <v>50.1</v>
      </c>
      <c r="AL22" s="27">
        <v>0</v>
      </c>
      <c r="AM22" s="14" t="s">
        <v>177</v>
      </c>
      <c r="AN22" s="34" t="s">
        <v>93</v>
      </c>
      <c r="AO22" s="5" t="s">
        <v>178</v>
      </c>
      <c r="AP22" s="37" t="s">
        <v>179</v>
      </c>
      <c r="AQ22" s="29" t="str">
        <f t="shared" si="1"/>
        <v>15G(15Xanhlácây)</v>
      </c>
      <c r="AR22" s="29" t="str">
        <f t="shared" si="2"/>
        <v>15G</v>
      </c>
    </row>
    <row r="23" spans="1:44" ht="42" customHeight="1">
      <c r="A23" s="1">
        <v>341</v>
      </c>
      <c r="B23" s="12" t="s">
        <v>180</v>
      </c>
      <c r="C23" s="13" t="s">
        <v>814</v>
      </c>
      <c r="D23" s="14" t="s">
        <v>181</v>
      </c>
      <c r="E23" s="15">
        <v>56</v>
      </c>
      <c r="F23" s="15" t="s">
        <v>166</v>
      </c>
      <c r="G23" s="32" t="s">
        <v>93</v>
      </c>
      <c r="H23" s="14" t="s">
        <v>171</v>
      </c>
      <c r="I23" s="33" t="s">
        <v>30</v>
      </c>
      <c r="J23" s="17" t="s">
        <v>89</v>
      </c>
      <c r="K23" s="17" t="s">
        <v>90</v>
      </c>
      <c r="L23" s="17" t="s">
        <v>182</v>
      </c>
      <c r="M23" s="18" t="s">
        <v>790</v>
      </c>
      <c r="N23" s="18" t="s">
        <v>790</v>
      </c>
      <c r="O23" s="18">
        <v>885</v>
      </c>
      <c r="P23" s="18">
        <v>270</v>
      </c>
      <c r="Q23" s="19">
        <v>1450</v>
      </c>
      <c r="R23" s="20"/>
      <c r="S23" s="21">
        <v>26.4</v>
      </c>
      <c r="T23" s="21">
        <v>36</v>
      </c>
      <c r="U23" s="22" t="s">
        <v>93</v>
      </c>
      <c r="V23" s="22">
        <v>560</v>
      </c>
      <c r="W23" s="24"/>
      <c r="X23" s="35">
        <v>840</v>
      </c>
      <c r="Y23" s="35">
        <v>965</v>
      </c>
      <c r="Z23" s="35">
        <v>980</v>
      </c>
      <c r="AA23" s="25">
        <v>690</v>
      </c>
      <c r="AB23" s="35">
        <v>700</v>
      </c>
      <c r="AC23" s="36"/>
      <c r="AD23" s="36"/>
      <c r="AE23" s="22">
        <v>1470</v>
      </c>
      <c r="AF23" s="17" t="s">
        <v>93</v>
      </c>
      <c r="AG23" s="17" t="s">
        <v>93</v>
      </c>
      <c r="AH23" s="17" t="s">
        <v>93</v>
      </c>
      <c r="AI23" s="17"/>
      <c r="AJ23" s="19">
        <v>1450</v>
      </c>
      <c r="AK23" s="19">
        <v>44.5</v>
      </c>
      <c r="AL23" s="27">
        <v>0</v>
      </c>
      <c r="AM23" s="14" t="s">
        <v>183</v>
      </c>
      <c r="AN23" s="34" t="s">
        <v>927</v>
      </c>
      <c r="AO23" s="38" t="s">
        <v>184</v>
      </c>
      <c r="AP23" s="28" t="s">
        <v>93</v>
      </c>
      <c r="AQ23" s="29" t="str">
        <f t="shared" si="1"/>
        <v>(10Trắng15Trắng)10W15W</v>
      </c>
      <c r="AR23" s="29" t="str">
        <f t="shared" si="2"/>
        <v>10W15W</v>
      </c>
    </row>
    <row r="24" spans="1:44" ht="42" customHeight="1">
      <c r="A24" s="1">
        <v>342</v>
      </c>
      <c r="B24" s="12" t="s">
        <v>185</v>
      </c>
      <c r="C24" s="13" t="s">
        <v>815</v>
      </c>
      <c r="D24" s="14" t="s">
        <v>181</v>
      </c>
      <c r="E24" s="15">
        <v>56</v>
      </c>
      <c r="F24" s="15" t="s">
        <v>166</v>
      </c>
      <c r="G24" s="32" t="s">
        <v>93</v>
      </c>
      <c r="H24" s="14" t="s">
        <v>186</v>
      </c>
      <c r="I24" s="33" t="s">
        <v>30</v>
      </c>
      <c r="J24" s="17" t="s">
        <v>89</v>
      </c>
      <c r="K24" s="17" t="s">
        <v>90</v>
      </c>
      <c r="L24" s="17" t="s">
        <v>187</v>
      </c>
      <c r="M24" s="18" t="s">
        <v>103</v>
      </c>
      <c r="N24" s="18" t="s">
        <v>103</v>
      </c>
      <c r="O24" s="18">
        <v>905</v>
      </c>
      <c r="P24" s="18">
        <v>255</v>
      </c>
      <c r="Q24" s="19">
        <v>1855</v>
      </c>
      <c r="R24" s="20"/>
      <c r="S24" s="21">
        <v>32.5</v>
      </c>
      <c r="T24" s="21">
        <v>45</v>
      </c>
      <c r="U24" s="22" t="s">
        <v>93</v>
      </c>
      <c r="V24" s="23">
        <v>600</v>
      </c>
      <c r="W24" s="24"/>
      <c r="X24" s="25">
        <v>760</v>
      </c>
      <c r="Y24" s="25">
        <v>960</v>
      </c>
      <c r="Z24" s="25">
        <v>980</v>
      </c>
      <c r="AA24" s="25">
        <v>680</v>
      </c>
      <c r="AB24" s="25">
        <v>700</v>
      </c>
      <c r="AC24" s="26"/>
      <c r="AD24" s="26"/>
      <c r="AE24" s="22">
        <v>1815</v>
      </c>
      <c r="AF24" s="17" t="s">
        <v>93</v>
      </c>
      <c r="AG24" s="17" t="s">
        <v>93</v>
      </c>
      <c r="AH24" s="17" t="s">
        <v>93</v>
      </c>
      <c r="AI24" s="17"/>
      <c r="AJ24" s="19">
        <v>1855</v>
      </c>
      <c r="AK24" s="19">
        <v>54.65</v>
      </c>
      <c r="AL24" s="27">
        <v>0</v>
      </c>
      <c r="AM24" s="14" t="s">
        <v>188</v>
      </c>
      <c r="AN24" s="34" t="s">
        <v>93</v>
      </c>
      <c r="AO24" s="5" t="s">
        <v>189</v>
      </c>
      <c r="AP24" s="28" t="s">
        <v>190</v>
      </c>
      <c r="AQ24" s="29" t="str">
        <f t="shared" si="1"/>
        <v>20R10R(20Đỏ10Đỏ)</v>
      </c>
      <c r="AR24" s="29" t="str">
        <f t="shared" si="2"/>
        <v>20R10R</v>
      </c>
    </row>
    <row r="25" spans="1:44" ht="42" customHeight="1">
      <c r="A25" s="1">
        <v>343</v>
      </c>
      <c r="B25" s="12" t="s">
        <v>191</v>
      </c>
      <c r="C25" s="13" t="s">
        <v>816</v>
      </c>
      <c r="D25" s="14" t="s">
        <v>181</v>
      </c>
      <c r="E25" s="15">
        <v>56</v>
      </c>
      <c r="F25" s="15" t="s">
        <v>166</v>
      </c>
      <c r="G25" s="32" t="s">
        <v>93</v>
      </c>
      <c r="H25" s="14" t="s">
        <v>186</v>
      </c>
      <c r="I25" s="33" t="s">
        <v>30</v>
      </c>
      <c r="J25" s="17" t="s">
        <v>192</v>
      </c>
      <c r="K25" s="17" t="s">
        <v>193</v>
      </c>
      <c r="L25" s="17" t="s">
        <v>187</v>
      </c>
      <c r="M25" s="18" t="s">
        <v>103</v>
      </c>
      <c r="N25" s="18" t="s">
        <v>103</v>
      </c>
      <c r="O25" s="18">
        <v>885</v>
      </c>
      <c r="P25" s="18">
        <v>255</v>
      </c>
      <c r="Q25" s="19">
        <v>1850</v>
      </c>
      <c r="R25" s="20">
        <v>1869.5</v>
      </c>
      <c r="S25" s="21">
        <v>45</v>
      </c>
      <c r="T25" s="21">
        <v>55</v>
      </c>
      <c r="U25" s="22">
        <v>12.3</v>
      </c>
      <c r="V25" s="23">
        <v>702</v>
      </c>
      <c r="W25" s="24"/>
      <c r="X25" s="25">
        <v>800</v>
      </c>
      <c r="Y25" s="25">
        <v>950</v>
      </c>
      <c r="Z25" s="25">
        <v>980</v>
      </c>
      <c r="AA25" s="25">
        <v>685</v>
      </c>
      <c r="AB25" s="25">
        <v>700</v>
      </c>
      <c r="AC25" s="26"/>
      <c r="AD25" s="26"/>
      <c r="AE25" s="22">
        <v>1835</v>
      </c>
      <c r="AF25" s="17" t="s">
        <v>93</v>
      </c>
      <c r="AG25" s="17" t="s">
        <v>93</v>
      </c>
      <c r="AH25" s="17" t="s">
        <v>93</v>
      </c>
      <c r="AI25" s="17"/>
      <c r="AJ25" s="19">
        <v>1850</v>
      </c>
      <c r="AK25" s="19">
        <v>54.5</v>
      </c>
      <c r="AL25" s="27">
        <v>55.085000000000001</v>
      </c>
      <c r="AM25" s="14" t="s">
        <v>188</v>
      </c>
      <c r="AN25" s="34" t="s">
        <v>93</v>
      </c>
      <c r="AO25" s="5" t="s">
        <v>189</v>
      </c>
      <c r="AP25" s="28" t="s">
        <v>190</v>
      </c>
      <c r="AQ25" s="29" t="str">
        <f t="shared" si="1"/>
        <v>20R10R(20Đỏ10Đỏ)</v>
      </c>
      <c r="AR25" s="29" t="str">
        <f t="shared" si="2"/>
        <v>20R10R</v>
      </c>
    </row>
    <row r="26" spans="1:44" ht="42" customHeight="1">
      <c r="A26" s="1">
        <v>344</v>
      </c>
      <c r="B26" s="12" t="s">
        <v>194</v>
      </c>
      <c r="C26" s="13" t="s">
        <v>817</v>
      </c>
      <c r="D26" s="14" t="s">
        <v>195</v>
      </c>
      <c r="E26" s="15">
        <v>54</v>
      </c>
      <c r="F26" s="15" t="s">
        <v>86</v>
      </c>
      <c r="G26" s="32" t="s">
        <v>93</v>
      </c>
      <c r="H26" s="14" t="s">
        <v>196</v>
      </c>
      <c r="I26" s="33" t="s">
        <v>30</v>
      </c>
      <c r="J26" s="17" t="s">
        <v>89</v>
      </c>
      <c r="K26" s="17" t="s">
        <v>90</v>
      </c>
      <c r="L26" s="17" t="s">
        <v>197</v>
      </c>
      <c r="M26" s="18" t="s">
        <v>790</v>
      </c>
      <c r="N26" s="18" t="s">
        <v>790</v>
      </c>
      <c r="O26" s="18">
        <v>890</v>
      </c>
      <c r="P26" s="18">
        <v>260</v>
      </c>
      <c r="Q26" s="19">
        <v>1880</v>
      </c>
      <c r="R26" s="20"/>
      <c r="S26" s="21" t="s">
        <v>93</v>
      </c>
      <c r="T26" s="21" t="s">
        <v>93</v>
      </c>
      <c r="U26" s="22" t="s">
        <v>93</v>
      </c>
      <c r="V26" s="22" t="s">
        <v>93</v>
      </c>
      <c r="W26" s="24"/>
      <c r="X26" s="35" t="s">
        <v>93</v>
      </c>
      <c r="Y26" s="35" t="s">
        <v>93</v>
      </c>
      <c r="Z26" s="35" t="s">
        <v>93</v>
      </c>
      <c r="AA26" s="35" t="s">
        <v>93</v>
      </c>
      <c r="AB26" s="35" t="s">
        <v>93</v>
      </c>
      <c r="AC26" s="36"/>
      <c r="AD26" s="36"/>
      <c r="AE26" s="22" t="s">
        <v>93</v>
      </c>
      <c r="AF26" s="17" t="s">
        <v>93</v>
      </c>
      <c r="AG26" s="17" t="s">
        <v>93</v>
      </c>
      <c r="AH26" s="17" t="s">
        <v>93</v>
      </c>
      <c r="AI26" s="17"/>
      <c r="AJ26" s="19">
        <v>1880</v>
      </c>
      <c r="AK26" s="19">
        <v>55.4</v>
      </c>
      <c r="AL26" s="27">
        <v>0</v>
      </c>
      <c r="AM26" s="14" t="s">
        <v>128</v>
      </c>
      <c r="AN26" s="34" t="s">
        <v>93</v>
      </c>
      <c r="AO26" s="5" t="s">
        <v>198</v>
      </c>
      <c r="AP26" s="37" t="s">
        <v>199</v>
      </c>
      <c r="AQ26" s="29" t="str">
        <f t="shared" si="1"/>
        <v>20G10Y(20Xanhlácây10Vàng)</v>
      </c>
      <c r="AR26" s="29" t="str">
        <f t="shared" si="2"/>
        <v>20G10Y</v>
      </c>
    </row>
    <row r="27" spans="1:44" ht="42" customHeight="1">
      <c r="A27" s="1">
        <v>345</v>
      </c>
      <c r="B27" s="12" t="s">
        <v>200</v>
      </c>
      <c r="C27" s="13" t="s">
        <v>818</v>
      </c>
      <c r="D27" s="14" t="s">
        <v>201</v>
      </c>
      <c r="E27" s="15">
        <v>45</v>
      </c>
      <c r="F27" s="15" t="s">
        <v>86</v>
      </c>
      <c r="G27" s="32" t="s">
        <v>93</v>
      </c>
      <c r="H27" s="14" t="s">
        <v>196</v>
      </c>
      <c r="I27" s="33" t="s">
        <v>30</v>
      </c>
      <c r="J27" s="17" t="s">
        <v>89</v>
      </c>
      <c r="K27" s="17" t="s">
        <v>90</v>
      </c>
      <c r="L27" s="17" t="s">
        <v>202</v>
      </c>
      <c r="M27" s="18" t="s">
        <v>203</v>
      </c>
      <c r="N27" s="18" t="s">
        <v>203</v>
      </c>
      <c r="O27" s="18">
        <v>980</v>
      </c>
      <c r="P27" s="18">
        <v>240</v>
      </c>
      <c r="Q27" s="19">
        <v>1695</v>
      </c>
      <c r="R27" s="20"/>
      <c r="S27" s="21" t="s">
        <v>93</v>
      </c>
      <c r="T27" s="21" t="s">
        <v>93</v>
      </c>
      <c r="U27" s="22" t="s">
        <v>93</v>
      </c>
      <c r="V27" s="23" t="s">
        <v>93</v>
      </c>
      <c r="W27" s="24"/>
      <c r="X27" s="25" t="s">
        <v>93</v>
      </c>
      <c r="Y27" s="25" t="s">
        <v>93</v>
      </c>
      <c r="Z27" s="25" t="s">
        <v>93</v>
      </c>
      <c r="AA27" s="25" t="s">
        <v>93</v>
      </c>
      <c r="AB27" s="25" t="s">
        <v>93</v>
      </c>
      <c r="AC27" s="26"/>
      <c r="AD27" s="26"/>
      <c r="AE27" s="22" t="s">
        <v>93</v>
      </c>
      <c r="AF27" s="17" t="s">
        <v>93</v>
      </c>
      <c r="AG27" s="17" t="s">
        <v>93</v>
      </c>
      <c r="AH27" s="17" t="s">
        <v>93</v>
      </c>
      <c r="AI27" s="17"/>
      <c r="AJ27" s="19">
        <v>1695</v>
      </c>
      <c r="AK27" s="19">
        <v>49.85</v>
      </c>
      <c r="AL27" s="27">
        <v>0</v>
      </c>
      <c r="AM27" s="14" t="s">
        <v>204</v>
      </c>
      <c r="AN27" s="34" t="s">
        <v>93</v>
      </c>
      <c r="AO27" s="5" t="s">
        <v>205</v>
      </c>
      <c r="AP27" s="28" t="s">
        <v>206</v>
      </c>
      <c r="AQ27" s="29" t="str">
        <f t="shared" si="1"/>
        <v>20V(20Tím)</v>
      </c>
      <c r="AR27" s="29" t="str">
        <f t="shared" si="2"/>
        <v>20V</v>
      </c>
    </row>
    <row r="28" spans="1:44" ht="42" customHeight="1">
      <c r="A28" s="1">
        <v>346</v>
      </c>
      <c r="B28" s="12" t="s">
        <v>207</v>
      </c>
      <c r="C28" s="13" t="s">
        <v>819</v>
      </c>
      <c r="D28" s="14" t="s">
        <v>208</v>
      </c>
      <c r="E28" s="15">
        <v>44</v>
      </c>
      <c r="F28" s="15" t="s">
        <v>166</v>
      </c>
      <c r="G28" s="32" t="s">
        <v>93</v>
      </c>
      <c r="H28" s="14" t="s">
        <v>209</v>
      </c>
      <c r="I28" s="33" t="s">
        <v>30</v>
      </c>
      <c r="J28" s="17" t="s">
        <v>89</v>
      </c>
      <c r="K28" s="17" t="s">
        <v>90</v>
      </c>
      <c r="L28" s="17" t="s">
        <v>210</v>
      </c>
      <c r="M28" s="18" t="s">
        <v>790</v>
      </c>
      <c r="N28" s="18" t="s">
        <v>790</v>
      </c>
      <c r="O28" s="18">
        <v>1055</v>
      </c>
      <c r="P28" s="18">
        <v>230</v>
      </c>
      <c r="Q28" s="19">
        <v>1400</v>
      </c>
      <c r="R28" s="20"/>
      <c r="S28" s="21">
        <v>27</v>
      </c>
      <c r="T28" s="21">
        <v>36</v>
      </c>
      <c r="U28" s="22" t="s">
        <v>93</v>
      </c>
      <c r="V28" s="23">
        <v>745</v>
      </c>
      <c r="W28" s="24"/>
      <c r="X28" s="25">
        <v>800</v>
      </c>
      <c r="Y28" s="25">
        <v>960</v>
      </c>
      <c r="Z28" s="25">
        <v>980</v>
      </c>
      <c r="AA28" s="25">
        <v>680</v>
      </c>
      <c r="AB28" s="25">
        <v>700</v>
      </c>
      <c r="AC28" s="26"/>
      <c r="AD28" s="26"/>
      <c r="AE28" s="22">
        <v>1410</v>
      </c>
      <c r="AF28" s="17" t="s">
        <v>93</v>
      </c>
      <c r="AG28" s="17" t="s">
        <v>93</v>
      </c>
      <c r="AH28" s="17" t="s">
        <v>93</v>
      </c>
      <c r="AI28" s="17"/>
      <c r="AJ28" s="19">
        <v>1400</v>
      </c>
      <c r="AK28" s="19">
        <v>40</v>
      </c>
      <c r="AL28" s="27">
        <v>0</v>
      </c>
      <c r="AM28" s="14" t="s">
        <v>177</v>
      </c>
      <c r="AN28" s="34" t="s">
        <v>927</v>
      </c>
      <c r="AO28" s="5" t="s">
        <v>211</v>
      </c>
      <c r="AP28" s="28" t="s">
        <v>93</v>
      </c>
      <c r="AQ28" s="29" t="str">
        <f t="shared" si="1"/>
        <v>15G(15Xanhlácây)</v>
      </c>
      <c r="AR28" s="29" t="str">
        <f t="shared" si="2"/>
        <v>15G</v>
      </c>
    </row>
    <row r="29" spans="1:44" ht="42" customHeight="1">
      <c r="A29" s="1">
        <v>347</v>
      </c>
      <c r="B29" s="12" t="s">
        <v>212</v>
      </c>
      <c r="C29" s="13" t="s">
        <v>820</v>
      </c>
      <c r="D29" s="14" t="s">
        <v>208</v>
      </c>
      <c r="E29" s="15">
        <v>44</v>
      </c>
      <c r="F29" s="15" t="s">
        <v>166</v>
      </c>
      <c r="G29" s="32" t="s">
        <v>93</v>
      </c>
      <c r="H29" s="14" t="s">
        <v>186</v>
      </c>
      <c r="I29" s="33" t="s">
        <v>30</v>
      </c>
      <c r="J29" s="17" t="s">
        <v>89</v>
      </c>
      <c r="K29" s="17" t="s">
        <v>90</v>
      </c>
      <c r="L29" s="17" t="s">
        <v>213</v>
      </c>
      <c r="M29" s="18" t="s">
        <v>103</v>
      </c>
      <c r="N29" s="18" t="s">
        <v>103</v>
      </c>
      <c r="O29" s="18">
        <v>1055</v>
      </c>
      <c r="P29" s="18">
        <v>220</v>
      </c>
      <c r="Q29" s="19">
        <v>1660</v>
      </c>
      <c r="R29" s="20"/>
      <c r="S29" s="21">
        <v>48</v>
      </c>
      <c r="T29" s="21">
        <v>30</v>
      </c>
      <c r="U29" s="22">
        <v>12.2</v>
      </c>
      <c r="V29" s="23">
        <v>697</v>
      </c>
      <c r="W29" s="24"/>
      <c r="X29" s="25">
        <v>800</v>
      </c>
      <c r="Y29" s="25">
        <v>960</v>
      </c>
      <c r="Z29" s="25">
        <v>980</v>
      </c>
      <c r="AA29" s="25">
        <v>680</v>
      </c>
      <c r="AB29" s="25">
        <v>700</v>
      </c>
      <c r="AC29" s="26"/>
      <c r="AD29" s="26"/>
      <c r="AE29" s="22">
        <v>1670</v>
      </c>
      <c r="AF29" s="17" t="s">
        <v>93</v>
      </c>
      <c r="AG29" s="17" t="s">
        <v>93</v>
      </c>
      <c r="AH29" s="17" t="s">
        <v>93</v>
      </c>
      <c r="AI29" s="17"/>
      <c r="AJ29" s="19">
        <v>1660</v>
      </c>
      <c r="AK29" s="19">
        <v>49.8</v>
      </c>
      <c r="AL29" s="27">
        <v>0</v>
      </c>
      <c r="AM29" s="14" t="s">
        <v>214</v>
      </c>
      <c r="AN29" s="34" t="s">
        <v>93</v>
      </c>
      <c r="AO29" s="5" t="s">
        <v>215</v>
      </c>
      <c r="AP29" s="28" t="s">
        <v>216</v>
      </c>
      <c r="AQ29" s="29" t="str">
        <f t="shared" si="1"/>
        <v>20B10B(20XDT10XDT)</v>
      </c>
      <c r="AR29" s="29" t="str">
        <f t="shared" si="2"/>
        <v>20B10B</v>
      </c>
    </row>
    <row r="30" spans="1:44" ht="42" customHeight="1">
      <c r="A30" s="1">
        <v>348</v>
      </c>
      <c r="B30" s="35" t="s">
        <v>217</v>
      </c>
      <c r="C30" s="13" t="s">
        <v>821</v>
      </c>
      <c r="D30" s="14" t="s">
        <v>218</v>
      </c>
      <c r="E30" s="15">
        <v>34</v>
      </c>
      <c r="F30" s="15" t="s">
        <v>150</v>
      </c>
      <c r="G30" s="32" t="s">
        <v>93</v>
      </c>
      <c r="H30" s="14" t="s">
        <v>219</v>
      </c>
      <c r="I30" s="16" t="s">
        <v>93</v>
      </c>
      <c r="J30" s="17" t="s">
        <v>89</v>
      </c>
      <c r="K30" s="17" t="s">
        <v>90</v>
      </c>
      <c r="L30" s="17" t="s">
        <v>220</v>
      </c>
      <c r="M30" s="18" t="s">
        <v>790</v>
      </c>
      <c r="N30" s="18" t="s">
        <v>790</v>
      </c>
      <c r="O30" s="18">
        <v>1190</v>
      </c>
      <c r="P30" s="18">
        <v>160</v>
      </c>
      <c r="Q30" s="19">
        <v>1060</v>
      </c>
      <c r="R30" s="20"/>
      <c r="S30" s="21">
        <v>16.3</v>
      </c>
      <c r="T30" s="21">
        <v>22.8</v>
      </c>
      <c r="U30" s="22" t="s">
        <v>93</v>
      </c>
      <c r="V30" s="22">
        <v>800</v>
      </c>
      <c r="W30" s="24"/>
      <c r="X30" s="35">
        <v>740</v>
      </c>
      <c r="Y30" s="35">
        <v>940</v>
      </c>
      <c r="Z30" s="35">
        <v>980</v>
      </c>
      <c r="AA30" s="25">
        <v>700</v>
      </c>
      <c r="AB30" s="35">
        <v>700</v>
      </c>
      <c r="AC30" s="36"/>
      <c r="AD30" s="36"/>
      <c r="AE30" s="22">
        <v>1000</v>
      </c>
      <c r="AF30" s="17" t="s">
        <v>93</v>
      </c>
      <c r="AG30" s="17" t="s">
        <v>93</v>
      </c>
      <c r="AH30" s="17" t="s">
        <v>93</v>
      </c>
      <c r="AI30" s="17"/>
      <c r="AJ30" s="19">
        <v>1060</v>
      </c>
      <c r="AK30" s="19">
        <v>29.799999999999997</v>
      </c>
      <c r="AL30" s="27">
        <v>0</v>
      </c>
      <c r="AM30" s="14" t="s">
        <v>221</v>
      </c>
      <c r="AN30" s="34" t="s">
        <v>93</v>
      </c>
      <c r="AO30" s="5" t="s">
        <v>222</v>
      </c>
      <c r="AP30" s="37" t="s">
        <v>223</v>
      </c>
      <c r="AQ30" s="29" t="str">
        <f t="shared" si="1"/>
        <v>25B(25XDT)</v>
      </c>
      <c r="AR30" s="29" t="str">
        <f t="shared" si="2"/>
        <v>25B</v>
      </c>
    </row>
    <row r="31" spans="1:44" ht="42" customHeight="1">
      <c r="A31" s="1">
        <v>349</v>
      </c>
      <c r="B31" s="12" t="s">
        <v>224</v>
      </c>
      <c r="C31" s="13" t="s">
        <v>822</v>
      </c>
      <c r="D31" s="14" t="s">
        <v>225</v>
      </c>
      <c r="E31" s="15">
        <v>40</v>
      </c>
      <c r="F31" s="15" t="s">
        <v>150</v>
      </c>
      <c r="G31" s="32" t="s">
        <v>93</v>
      </c>
      <c r="H31" s="14" t="s">
        <v>226</v>
      </c>
      <c r="I31" s="33" t="s">
        <v>30</v>
      </c>
      <c r="J31" s="17" t="s">
        <v>89</v>
      </c>
      <c r="K31" s="17" t="s">
        <v>90</v>
      </c>
      <c r="L31" s="17" t="s">
        <v>227</v>
      </c>
      <c r="M31" s="18" t="s">
        <v>790</v>
      </c>
      <c r="N31" s="18" t="s">
        <v>790</v>
      </c>
      <c r="O31" s="18">
        <v>1230</v>
      </c>
      <c r="P31" s="18">
        <v>172</v>
      </c>
      <c r="Q31" s="19">
        <v>1335</v>
      </c>
      <c r="R31" s="20"/>
      <c r="S31" s="21">
        <v>26.4</v>
      </c>
      <c r="T31" s="21">
        <v>35</v>
      </c>
      <c r="U31" s="22" t="s">
        <v>93</v>
      </c>
      <c r="V31" s="23">
        <v>920</v>
      </c>
      <c r="W31" s="24"/>
      <c r="X31" s="25">
        <v>780</v>
      </c>
      <c r="Y31" s="25">
        <v>930</v>
      </c>
      <c r="Z31" s="25">
        <v>980</v>
      </c>
      <c r="AA31" s="25">
        <v>680</v>
      </c>
      <c r="AB31" s="25">
        <v>700</v>
      </c>
      <c r="AC31" s="26"/>
      <c r="AD31" s="26"/>
      <c r="AE31" s="22">
        <v>1340</v>
      </c>
      <c r="AF31" s="17" t="s">
        <v>93</v>
      </c>
      <c r="AG31" s="17" t="s">
        <v>93</v>
      </c>
      <c r="AH31" s="17" t="s">
        <v>93</v>
      </c>
      <c r="AI31" s="17"/>
      <c r="AJ31" s="19">
        <v>1335</v>
      </c>
      <c r="AK31" s="19">
        <v>40.049999999999997</v>
      </c>
      <c r="AL31" s="27">
        <v>0</v>
      </c>
      <c r="AM31" s="14" t="s">
        <v>228</v>
      </c>
      <c r="AN31" s="34" t="s">
        <v>93</v>
      </c>
      <c r="AO31" s="5" t="s">
        <v>229</v>
      </c>
      <c r="AP31" s="28" t="s">
        <v>230</v>
      </c>
      <c r="AQ31" s="29" t="str">
        <f t="shared" si="1"/>
        <v>15W10W(15Trắng10Trắng)</v>
      </c>
      <c r="AR31" s="29" t="str">
        <f t="shared" si="2"/>
        <v>15W10W</v>
      </c>
    </row>
    <row r="32" spans="1:44" ht="42" customHeight="1">
      <c r="A32" s="1">
        <v>350</v>
      </c>
      <c r="B32" s="12" t="s">
        <v>231</v>
      </c>
      <c r="C32" s="13" t="s">
        <v>823</v>
      </c>
      <c r="D32" s="14" t="s">
        <v>225</v>
      </c>
      <c r="E32" s="15">
        <v>40</v>
      </c>
      <c r="F32" s="15" t="s">
        <v>150</v>
      </c>
      <c r="G32" s="32" t="s">
        <v>93</v>
      </c>
      <c r="H32" s="14" t="s">
        <v>232</v>
      </c>
      <c r="I32" s="33" t="s">
        <v>93</v>
      </c>
      <c r="J32" s="17" t="s">
        <v>89</v>
      </c>
      <c r="K32" s="17" t="s">
        <v>90</v>
      </c>
      <c r="L32" s="17" t="s">
        <v>233</v>
      </c>
      <c r="M32" s="18" t="s">
        <v>790</v>
      </c>
      <c r="N32" s="18" t="s">
        <v>790</v>
      </c>
      <c r="O32" s="18">
        <v>1205</v>
      </c>
      <c r="P32" s="18">
        <v>185</v>
      </c>
      <c r="Q32" s="19">
        <v>1345</v>
      </c>
      <c r="R32" s="20"/>
      <c r="S32" s="21">
        <v>20.5</v>
      </c>
      <c r="T32" s="21">
        <v>27.6</v>
      </c>
      <c r="U32" s="22" t="s">
        <v>93</v>
      </c>
      <c r="V32" s="23">
        <v>800</v>
      </c>
      <c r="W32" s="24"/>
      <c r="X32" s="25">
        <v>770</v>
      </c>
      <c r="Y32" s="25">
        <v>960</v>
      </c>
      <c r="Z32" s="25">
        <v>980</v>
      </c>
      <c r="AA32" s="25">
        <v>700</v>
      </c>
      <c r="AB32" s="25">
        <v>700</v>
      </c>
      <c r="AC32" s="26"/>
      <c r="AD32" s="26"/>
      <c r="AE32" s="22">
        <v>1265</v>
      </c>
      <c r="AF32" s="17" t="s">
        <v>93</v>
      </c>
      <c r="AG32" s="17" t="s">
        <v>93</v>
      </c>
      <c r="AH32" s="17" t="s">
        <v>93</v>
      </c>
      <c r="AI32" s="17"/>
      <c r="AJ32" s="19">
        <v>1345</v>
      </c>
      <c r="AK32" s="19">
        <v>40.35</v>
      </c>
      <c r="AL32" s="27">
        <v>0</v>
      </c>
      <c r="AM32" s="14" t="s">
        <v>234</v>
      </c>
      <c r="AN32" s="34" t="s">
        <v>93</v>
      </c>
      <c r="AO32" s="5" t="s">
        <v>235</v>
      </c>
      <c r="AP32" s="28" t="s">
        <v>236</v>
      </c>
      <c r="AQ32" s="29" t="str">
        <f t="shared" si="1"/>
        <v>25W(25Trắng)</v>
      </c>
      <c r="AR32" s="29" t="str">
        <f t="shared" si="2"/>
        <v>25W</v>
      </c>
    </row>
    <row r="33" spans="1:44" ht="42" customHeight="1">
      <c r="A33" s="1">
        <v>351</v>
      </c>
      <c r="B33" s="12" t="s">
        <v>237</v>
      </c>
      <c r="C33" s="13" t="s">
        <v>824</v>
      </c>
      <c r="D33" s="14" t="s">
        <v>225</v>
      </c>
      <c r="E33" s="15">
        <v>40</v>
      </c>
      <c r="F33" s="15" t="s">
        <v>150</v>
      </c>
      <c r="G33" s="32" t="s">
        <v>93</v>
      </c>
      <c r="H33" s="14" t="s">
        <v>238</v>
      </c>
      <c r="I33" s="16" t="s">
        <v>93</v>
      </c>
      <c r="J33" s="17" t="s">
        <v>89</v>
      </c>
      <c r="K33" s="17" t="s">
        <v>90</v>
      </c>
      <c r="L33" s="17" t="s">
        <v>239</v>
      </c>
      <c r="M33" s="18" t="s">
        <v>790</v>
      </c>
      <c r="N33" s="18" t="s">
        <v>790</v>
      </c>
      <c r="O33" s="18">
        <v>1205</v>
      </c>
      <c r="P33" s="18">
        <v>173</v>
      </c>
      <c r="Q33" s="19">
        <v>1320</v>
      </c>
      <c r="R33" s="20"/>
      <c r="S33" s="21">
        <v>18.5</v>
      </c>
      <c r="T33" s="21">
        <v>26.5</v>
      </c>
      <c r="U33" s="22" t="s">
        <v>93</v>
      </c>
      <c r="V33" s="22">
        <v>870</v>
      </c>
      <c r="W33" s="24"/>
      <c r="X33" s="35">
        <v>700</v>
      </c>
      <c r="Y33" s="35">
        <v>945</v>
      </c>
      <c r="Z33" s="35">
        <v>980</v>
      </c>
      <c r="AA33" s="25">
        <v>700</v>
      </c>
      <c r="AB33" s="35">
        <v>700</v>
      </c>
      <c r="AC33" s="36"/>
      <c r="AD33" s="36"/>
      <c r="AE33" s="22">
        <v>1265</v>
      </c>
      <c r="AF33" s="17" t="s">
        <v>93</v>
      </c>
      <c r="AG33" s="17" t="s">
        <v>93</v>
      </c>
      <c r="AH33" s="17" t="s">
        <v>93</v>
      </c>
      <c r="AI33" s="17"/>
      <c r="AJ33" s="19">
        <v>1320</v>
      </c>
      <c r="AK33" s="19">
        <v>39.6</v>
      </c>
      <c r="AL33" s="27">
        <v>0</v>
      </c>
      <c r="AM33" s="14" t="s">
        <v>94</v>
      </c>
      <c r="AN33" s="34" t="s">
        <v>93</v>
      </c>
      <c r="AO33" s="5" t="s">
        <v>240</v>
      </c>
      <c r="AP33" s="28" t="s">
        <v>93</v>
      </c>
      <c r="AQ33" s="29" t="str">
        <f t="shared" si="1"/>
        <v/>
      </c>
      <c r="AR33" s="29" t="str">
        <f t="shared" si="2"/>
        <v/>
      </c>
    </row>
    <row r="34" spans="1:44" ht="42" customHeight="1">
      <c r="A34" s="1">
        <v>352</v>
      </c>
      <c r="B34" s="12" t="s">
        <v>241</v>
      </c>
      <c r="C34" s="13" t="s">
        <v>825</v>
      </c>
      <c r="D34" s="14" t="s">
        <v>225</v>
      </c>
      <c r="E34" s="15">
        <v>40</v>
      </c>
      <c r="F34" s="15" t="s">
        <v>150</v>
      </c>
      <c r="G34" s="32" t="s">
        <v>93</v>
      </c>
      <c r="H34" s="14" t="s">
        <v>238</v>
      </c>
      <c r="I34" s="16" t="s">
        <v>93</v>
      </c>
      <c r="J34" s="17" t="s">
        <v>89</v>
      </c>
      <c r="K34" s="17" t="s">
        <v>90</v>
      </c>
      <c r="L34" s="17" t="s">
        <v>239</v>
      </c>
      <c r="M34" s="18" t="s">
        <v>790</v>
      </c>
      <c r="N34" s="18" t="s">
        <v>790</v>
      </c>
      <c r="O34" s="18">
        <v>1205</v>
      </c>
      <c r="P34" s="18">
        <v>173</v>
      </c>
      <c r="Q34" s="19">
        <v>1320</v>
      </c>
      <c r="R34" s="20"/>
      <c r="S34" s="21">
        <v>12.5</v>
      </c>
      <c r="T34" s="21">
        <v>17</v>
      </c>
      <c r="U34" s="22" t="s">
        <v>93</v>
      </c>
      <c r="V34" s="22">
        <v>670</v>
      </c>
      <c r="W34" s="24"/>
      <c r="X34" s="35">
        <v>650</v>
      </c>
      <c r="Y34" s="35">
        <v>950</v>
      </c>
      <c r="Z34" s="35">
        <v>980</v>
      </c>
      <c r="AA34" s="25">
        <v>700</v>
      </c>
      <c r="AB34" s="35">
        <v>700</v>
      </c>
      <c r="AC34" s="36"/>
      <c r="AD34" s="36"/>
      <c r="AE34" s="22">
        <v>1265</v>
      </c>
      <c r="AF34" s="17" t="s">
        <v>93</v>
      </c>
      <c r="AG34" s="17" t="s">
        <v>93</v>
      </c>
      <c r="AH34" s="17" t="s">
        <v>93</v>
      </c>
      <c r="AI34" s="17"/>
      <c r="AJ34" s="19">
        <v>1320</v>
      </c>
      <c r="AK34" s="19">
        <v>39.6</v>
      </c>
      <c r="AL34" s="27">
        <v>0</v>
      </c>
      <c r="AM34" s="14" t="s">
        <v>242</v>
      </c>
      <c r="AN34" s="34" t="s">
        <v>93</v>
      </c>
      <c r="AO34" s="5" t="s">
        <v>243</v>
      </c>
      <c r="AP34" s="28" t="s">
        <v>93</v>
      </c>
      <c r="AQ34" s="29" t="str">
        <f t="shared" si="1"/>
        <v>10Y10W(10Vàng10Trắng)</v>
      </c>
      <c r="AR34" s="29" t="str">
        <f t="shared" si="2"/>
        <v>10Y10W</v>
      </c>
    </row>
    <row r="35" spans="1:44" ht="42" customHeight="1">
      <c r="A35" s="1">
        <v>353</v>
      </c>
      <c r="B35" s="12" t="s">
        <v>244</v>
      </c>
      <c r="C35" s="13" t="s">
        <v>826</v>
      </c>
      <c r="D35" s="14" t="s">
        <v>225</v>
      </c>
      <c r="E35" s="15">
        <v>40</v>
      </c>
      <c r="F35" s="15" t="s">
        <v>150</v>
      </c>
      <c r="G35" s="32" t="s">
        <v>93</v>
      </c>
      <c r="H35" s="14" t="s">
        <v>245</v>
      </c>
      <c r="I35" s="33" t="s">
        <v>30</v>
      </c>
      <c r="J35" s="17" t="s">
        <v>192</v>
      </c>
      <c r="K35" s="17" t="s">
        <v>193</v>
      </c>
      <c r="L35" s="17" t="s">
        <v>227</v>
      </c>
      <c r="M35" s="18" t="s">
        <v>790</v>
      </c>
      <c r="N35" s="18" t="s">
        <v>790</v>
      </c>
      <c r="O35" s="18">
        <v>1230</v>
      </c>
      <c r="P35" s="18">
        <v>170</v>
      </c>
      <c r="Q35" s="19">
        <v>1335</v>
      </c>
      <c r="R35" s="20">
        <v>1350.35</v>
      </c>
      <c r="S35" s="21">
        <v>21</v>
      </c>
      <c r="T35" s="21">
        <v>27.8</v>
      </c>
      <c r="U35" s="22" t="s">
        <v>93</v>
      </c>
      <c r="V35" s="23">
        <v>680</v>
      </c>
      <c r="W35" s="24"/>
      <c r="X35" s="25">
        <v>720</v>
      </c>
      <c r="Y35" s="25">
        <v>930</v>
      </c>
      <c r="Z35" s="25">
        <v>980</v>
      </c>
      <c r="AA35" s="25">
        <v>700</v>
      </c>
      <c r="AB35" s="25">
        <v>700</v>
      </c>
      <c r="AC35" s="26"/>
      <c r="AD35" s="26"/>
      <c r="AE35" s="22">
        <v>1340</v>
      </c>
      <c r="AF35" s="17" t="s">
        <v>93</v>
      </c>
      <c r="AG35" s="17" t="s">
        <v>93</v>
      </c>
      <c r="AH35" s="17" t="s">
        <v>93</v>
      </c>
      <c r="AI35" s="17"/>
      <c r="AJ35" s="19">
        <v>1335</v>
      </c>
      <c r="AK35" s="19">
        <v>40.049999999999997</v>
      </c>
      <c r="AL35" s="27">
        <v>39.510499999999993</v>
      </c>
      <c r="AM35" s="14" t="s">
        <v>246</v>
      </c>
      <c r="AN35" s="34" t="s">
        <v>93</v>
      </c>
      <c r="AO35" s="5" t="s">
        <v>247</v>
      </c>
      <c r="AP35" s="28" t="s">
        <v>179</v>
      </c>
      <c r="AQ35" s="29" t="str">
        <f t="shared" si="1"/>
        <v>10R15B10B(10Đỏ15XDT10XDT)</v>
      </c>
      <c r="AR35" s="29" t="str">
        <f t="shared" si="2"/>
        <v>10R15B10B</v>
      </c>
    </row>
    <row r="36" spans="1:44" ht="42" customHeight="1">
      <c r="A36" s="1">
        <v>354</v>
      </c>
      <c r="B36" s="12" t="s">
        <v>248</v>
      </c>
      <c r="C36" s="13" t="s">
        <v>827</v>
      </c>
      <c r="D36" s="14" t="s">
        <v>249</v>
      </c>
      <c r="E36" s="15">
        <v>49</v>
      </c>
      <c r="F36" s="15" t="s">
        <v>150</v>
      </c>
      <c r="G36" s="32" t="s">
        <v>93</v>
      </c>
      <c r="H36" s="14" t="s">
        <v>250</v>
      </c>
      <c r="I36" s="33" t="s">
        <v>93</v>
      </c>
      <c r="J36" s="17" t="s">
        <v>89</v>
      </c>
      <c r="K36" s="17" t="s">
        <v>90</v>
      </c>
      <c r="L36" s="17" t="s">
        <v>251</v>
      </c>
      <c r="M36" s="18" t="s">
        <v>790</v>
      </c>
      <c r="N36" s="18" t="s">
        <v>790</v>
      </c>
      <c r="O36" s="18">
        <v>1215</v>
      </c>
      <c r="P36" s="18">
        <v>190</v>
      </c>
      <c r="Q36" s="19">
        <v>1825</v>
      </c>
      <c r="R36" s="20"/>
      <c r="S36" s="21">
        <v>19</v>
      </c>
      <c r="T36" s="21">
        <v>33.1</v>
      </c>
      <c r="U36" s="22" t="s">
        <v>93</v>
      </c>
      <c r="V36" s="23">
        <v>820</v>
      </c>
      <c r="W36" s="24"/>
      <c r="X36" s="25">
        <v>660</v>
      </c>
      <c r="Y36" s="25">
        <v>975</v>
      </c>
      <c r="Z36" s="25">
        <v>980</v>
      </c>
      <c r="AA36" s="25">
        <v>700</v>
      </c>
      <c r="AB36" s="25">
        <v>700</v>
      </c>
      <c r="AC36" s="26"/>
      <c r="AD36" s="26"/>
      <c r="AE36" s="22">
        <v>1705</v>
      </c>
      <c r="AF36" s="17" t="s">
        <v>93</v>
      </c>
      <c r="AG36" s="17" t="s">
        <v>93</v>
      </c>
      <c r="AH36" s="17" t="s">
        <v>93</v>
      </c>
      <c r="AI36" s="17"/>
      <c r="AJ36" s="19">
        <v>1825</v>
      </c>
      <c r="AK36" s="19">
        <v>54.75</v>
      </c>
      <c r="AL36" s="27">
        <v>0</v>
      </c>
      <c r="AM36" s="14" t="s">
        <v>252</v>
      </c>
      <c r="AN36" s="34" t="s">
        <v>93</v>
      </c>
      <c r="AO36" s="5" t="s">
        <v>253</v>
      </c>
      <c r="AP36" s="28" t="s">
        <v>254</v>
      </c>
      <c r="AQ36" s="29" t="str">
        <f t="shared" si="1"/>
        <v>15B10R(15XDT10Đỏ)</v>
      </c>
      <c r="AR36" s="29" t="str">
        <f t="shared" si="2"/>
        <v>15B10R</v>
      </c>
    </row>
    <row r="37" spans="1:44" ht="42" customHeight="1">
      <c r="A37" s="1">
        <v>355</v>
      </c>
      <c r="B37" s="12" t="s">
        <v>255</v>
      </c>
      <c r="C37" s="13" t="s">
        <v>828</v>
      </c>
      <c r="D37" s="14" t="s">
        <v>256</v>
      </c>
      <c r="E37" s="15">
        <v>46</v>
      </c>
      <c r="F37" s="15" t="s">
        <v>150</v>
      </c>
      <c r="G37" s="32" t="s">
        <v>93</v>
      </c>
      <c r="H37" s="14" t="s">
        <v>257</v>
      </c>
      <c r="I37" s="16" t="s">
        <v>93</v>
      </c>
      <c r="J37" s="17" t="s">
        <v>89</v>
      </c>
      <c r="K37" s="17" t="s">
        <v>90</v>
      </c>
      <c r="L37" s="17" t="s">
        <v>258</v>
      </c>
      <c r="M37" s="18" t="s">
        <v>790</v>
      </c>
      <c r="N37" s="18" t="s">
        <v>790</v>
      </c>
      <c r="O37" s="18">
        <v>1215</v>
      </c>
      <c r="P37" s="18">
        <v>198</v>
      </c>
      <c r="Q37" s="19">
        <v>1810</v>
      </c>
      <c r="R37" s="20"/>
      <c r="S37" s="21">
        <v>25.8</v>
      </c>
      <c r="T37" s="21">
        <v>32.700000000000003</v>
      </c>
      <c r="U37" s="22" t="s">
        <v>93</v>
      </c>
      <c r="V37" s="22">
        <v>800</v>
      </c>
      <c r="W37" s="24"/>
      <c r="X37" s="35">
        <v>760</v>
      </c>
      <c r="Y37" s="35">
        <v>970</v>
      </c>
      <c r="Z37" s="35">
        <v>980</v>
      </c>
      <c r="AA37" s="25">
        <v>700</v>
      </c>
      <c r="AB37" s="35">
        <v>700</v>
      </c>
      <c r="AC37" s="36"/>
      <c r="AD37" s="36"/>
      <c r="AE37" s="22">
        <v>1720</v>
      </c>
      <c r="AF37" s="17" t="s">
        <v>93</v>
      </c>
      <c r="AG37" s="17" t="s">
        <v>93</v>
      </c>
      <c r="AH37" s="17" t="s">
        <v>93</v>
      </c>
      <c r="AI37" s="17"/>
      <c r="AJ37" s="19">
        <v>1810</v>
      </c>
      <c r="AK37" s="19">
        <v>55.3</v>
      </c>
      <c r="AL37" s="27">
        <v>0</v>
      </c>
      <c r="AM37" s="14" t="s">
        <v>259</v>
      </c>
      <c r="AN37" s="34" t="s">
        <v>93</v>
      </c>
      <c r="AO37" s="5" t="s">
        <v>260</v>
      </c>
      <c r="AP37" s="28" t="s">
        <v>261</v>
      </c>
      <c r="AQ37" s="29" t="str">
        <f t="shared" si="1"/>
        <v>25R(25Đỏ)</v>
      </c>
      <c r="AR37" s="29" t="str">
        <f t="shared" si="2"/>
        <v>25R</v>
      </c>
    </row>
    <row r="38" spans="1:44" ht="42" customHeight="1">
      <c r="A38" s="1">
        <v>356</v>
      </c>
      <c r="B38" s="12" t="s">
        <v>262</v>
      </c>
      <c r="C38" s="13" t="s">
        <v>829</v>
      </c>
      <c r="D38" s="14" t="s">
        <v>256</v>
      </c>
      <c r="E38" s="15">
        <v>46</v>
      </c>
      <c r="F38" s="15" t="s">
        <v>150</v>
      </c>
      <c r="G38" s="32" t="s">
        <v>93</v>
      </c>
      <c r="H38" s="14" t="s">
        <v>257</v>
      </c>
      <c r="I38" s="16" t="s">
        <v>93</v>
      </c>
      <c r="J38" s="17" t="s">
        <v>89</v>
      </c>
      <c r="K38" s="17" t="s">
        <v>90</v>
      </c>
      <c r="L38" s="17" t="s">
        <v>258</v>
      </c>
      <c r="M38" s="18" t="s">
        <v>263</v>
      </c>
      <c r="N38" s="18" t="s">
        <v>263</v>
      </c>
      <c r="O38" s="18">
        <v>1215</v>
      </c>
      <c r="P38" s="18">
        <v>198</v>
      </c>
      <c r="Q38" s="19">
        <v>1810</v>
      </c>
      <c r="R38" s="20"/>
      <c r="S38" s="21">
        <v>12</v>
      </c>
      <c r="T38" s="21">
        <v>16</v>
      </c>
      <c r="U38" s="22" t="s">
        <v>93</v>
      </c>
      <c r="V38" s="22">
        <v>480</v>
      </c>
      <c r="W38" s="24"/>
      <c r="X38" s="35">
        <v>650</v>
      </c>
      <c r="Y38" s="35">
        <v>970</v>
      </c>
      <c r="Z38" s="35">
        <v>980</v>
      </c>
      <c r="AA38" s="25">
        <v>950</v>
      </c>
      <c r="AB38" s="35">
        <v>700</v>
      </c>
      <c r="AC38" s="36"/>
      <c r="AD38" s="36"/>
      <c r="AE38" s="22">
        <v>1720</v>
      </c>
      <c r="AF38" s="17" t="s">
        <v>93</v>
      </c>
      <c r="AG38" s="17" t="s">
        <v>93</v>
      </c>
      <c r="AH38" s="17" t="s">
        <v>93</v>
      </c>
      <c r="AI38" s="17"/>
      <c r="AJ38" s="19">
        <v>1810</v>
      </c>
      <c r="AK38" s="19">
        <v>55.3</v>
      </c>
      <c r="AL38" s="27">
        <v>0</v>
      </c>
      <c r="AM38" s="14" t="s">
        <v>264</v>
      </c>
      <c r="AN38" s="34" t="s">
        <v>93</v>
      </c>
      <c r="AO38" s="5" t="s">
        <v>265</v>
      </c>
      <c r="AP38" s="28" t="s">
        <v>93</v>
      </c>
      <c r="AQ38" s="29" t="str">
        <f t="shared" si="1"/>
        <v>15R10R(15Đỏ10Đỏ)</v>
      </c>
      <c r="AR38" s="29" t="str">
        <f t="shared" si="2"/>
        <v>15R10R</v>
      </c>
    </row>
    <row r="39" spans="1:44" ht="42" customHeight="1">
      <c r="A39" s="1">
        <v>357</v>
      </c>
      <c r="B39" s="12" t="s">
        <v>266</v>
      </c>
      <c r="C39" s="13" t="s">
        <v>830</v>
      </c>
      <c r="D39" s="14" t="s">
        <v>256</v>
      </c>
      <c r="E39" s="15">
        <v>46</v>
      </c>
      <c r="F39" s="15" t="s">
        <v>150</v>
      </c>
      <c r="G39" s="32" t="s">
        <v>93</v>
      </c>
      <c r="H39" s="14" t="s">
        <v>267</v>
      </c>
      <c r="I39" s="33" t="s">
        <v>30</v>
      </c>
      <c r="J39" s="17" t="s">
        <v>89</v>
      </c>
      <c r="K39" s="17" t="s">
        <v>90</v>
      </c>
      <c r="L39" s="17" t="s">
        <v>268</v>
      </c>
      <c r="M39" s="18" t="s">
        <v>263</v>
      </c>
      <c r="N39" s="18" t="s">
        <v>263</v>
      </c>
      <c r="O39" s="18">
        <v>1230</v>
      </c>
      <c r="P39" s="18">
        <v>195</v>
      </c>
      <c r="Q39" s="19">
        <v>2000</v>
      </c>
      <c r="R39" s="20"/>
      <c r="S39" s="21">
        <v>41.7</v>
      </c>
      <c r="T39" s="21">
        <v>50</v>
      </c>
      <c r="U39" s="22" t="s">
        <v>93</v>
      </c>
      <c r="V39" s="22">
        <v>870</v>
      </c>
      <c r="W39" s="24"/>
      <c r="X39" s="35">
        <v>800</v>
      </c>
      <c r="Y39" s="35">
        <v>970</v>
      </c>
      <c r="Z39" s="35">
        <v>980</v>
      </c>
      <c r="AA39" s="25">
        <v>680</v>
      </c>
      <c r="AB39" s="35">
        <v>700</v>
      </c>
      <c r="AC39" s="36"/>
      <c r="AD39" s="36"/>
      <c r="AE39" s="22">
        <v>2100</v>
      </c>
      <c r="AF39" s="17" t="s">
        <v>93</v>
      </c>
      <c r="AG39" s="17" t="s">
        <v>93</v>
      </c>
      <c r="AH39" s="17" t="s">
        <v>93</v>
      </c>
      <c r="AI39" s="17"/>
      <c r="AJ39" s="19">
        <v>2000</v>
      </c>
      <c r="AK39" s="19">
        <v>60</v>
      </c>
      <c r="AL39" s="27">
        <v>0</v>
      </c>
      <c r="AM39" s="14" t="s">
        <v>269</v>
      </c>
      <c r="AN39" s="34" t="s">
        <v>93</v>
      </c>
      <c r="AO39" s="5" t="s">
        <v>270</v>
      </c>
      <c r="AP39" s="37" t="s">
        <v>271</v>
      </c>
      <c r="AQ39" s="29" t="str">
        <f t="shared" si="1"/>
        <v>15Y(15Vàng)</v>
      </c>
      <c r="AR39" s="29" t="str">
        <f t="shared" si="2"/>
        <v>15Y</v>
      </c>
    </row>
    <row r="40" spans="1:44" ht="42" customHeight="1">
      <c r="A40" s="1">
        <v>358</v>
      </c>
      <c r="B40" s="12" t="s">
        <v>272</v>
      </c>
      <c r="C40" s="13" t="s">
        <v>831</v>
      </c>
      <c r="D40" s="14" t="s">
        <v>256</v>
      </c>
      <c r="E40" s="15">
        <v>46</v>
      </c>
      <c r="F40" s="15" t="s">
        <v>150</v>
      </c>
      <c r="G40" s="32" t="s">
        <v>93</v>
      </c>
      <c r="H40" s="14" t="s">
        <v>245</v>
      </c>
      <c r="I40" s="33" t="s">
        <v>30</v>
      </c>
      <c r="J40" s="17" t="s">
        <v>89</v>
      </c>
      <c r="K40" s="17" t="s">
        <v>90</v>
      </c>
      <c r="L40" s="17" t="s">
        <v>268</v>
      </c>
      <c r="M40" s="18" t="s">
        <v>263</v>
      </c>
      <c r="N40" s="18" t="s">
        <v>263</v>
      </c>
      <c r="O40" s="18">
        <v>1230</v>
      </c>
      <c r="P40" s="18">
        <v>195</v>
      </c>
      <c r="Q40" s="19">
        <v>1953</v>
      </c>
      <c r="R40" s="20"/>
      <c r="S40" s="21">
        <v>29.9</v>
      </c>
      <c r="T40" s="21">
        <v>35.299999999999997</v>
      </c>
      <c r="U40" s="22" t="s">
        <v>93</v>
      </c>
      <c r="V40" s="22">
        <v>620</v>
      </c>
      <c r="W40" s="24"/>
      <c r="X40" s="35">
        <v>860</v>
      </c>
      <c r="Y40" s="35">
        <v>980</v>
      </c>
      <c r="Z40" s="35">
        <v>990</v>
      </c>
      <c r="AA40" s="25">
        <v>950</v>
      </c>
      <c r="AB40" s="35">
        <v>700</v>
      </c>
      <c r="AC40" s="36"/>
      <c r="AD40" s="36"/>
      <c r="AE40" s="22">
        <v>2100</v>
      </c>
      <c r="AF40" s="17" t="s">
        <v>93</v>
      </c>
      <c r="AG40" s="17" t="s">
        <v>93</v>
      </c>
      <c r="AH40" s="17" t="s">
        <v>93</v>
      </c>
      <c r="AI40" s="17"/>
      <c r="AJ40" s="19">
        <v>2000</v>
      </c>
      <c r="AK40" s="19">
        <v>60</v>
      </c>
      <c r="AL40" s="27">
        <v>0</v>
      </c>
      <c r="AM40" s="14" t="s">
        <v>273</v>
      </c>
      <c r="AN40" s="34" t="s">
        <v>928</v>
      </c>
      <c r="AO40" s="5" t="s">
        <v>274</v>
      </c>
      <c r="AP40" s="37" t="s">
        <v>179</v>
      </c>
      <c r="AQ40" s="29" t="str">
        <f t="shared" si="1"/>
        <v>10W15B10B(10Trắng15XDT10XDT)</v>
      </c>
      <c r="AR40" s="29" t="str">
        <f t="shared" si="2"/>
        <v>10W15B10B</v>
      </c>
    </row>
    <row r="41" spans="1:44" ht="42" customHeight="1">
      <c r="A41" s="1">
        <v>359</v>
      </c>
      <c r="B41" s="12" t="s">
        <v>275</v>
      </c>
      <c r="C41" s="13" t="s">
        <v>832</v>
      </c>
      <c r="D41" s="14" t="s">
        <v>256</v>
      </c>
      <c r="E41" s="15">
        <v>46</v>
      </c>
      <c r="F41" s="15" t="s">
        <v>150</v>
      </c>
      <c r="G41" s="32" t="s">
        <v>93</v>
      </c>
      <c r="H41" s="14" t="s">
        <v>276</v>
      </c>
      <c r="I41" s="33" t="s">
        <v>30</v>
      </c>
      <c r="J41" s="17" t="s">
        <v>192</v>
      </c>
      <c r="K41" s="17" t="s">
        <v>193</v>
      </c>
      <c r="L41" s="17" t="s">
        <v>277</v>
      </c>
      <c r="M41" s="18" t="s">
        <v>790</v>
      </c>
      <c r="N41" s="18" t="s">
        <v>790</v>
      </c>
      <c r="O41" s="18">
        <v>1230</v>
      </c>
      <c r="P41" s="18">
        <v>208</v>
      </c>
      <c r="Q41" s="19">
        <v>1800</v>
      </c>
      <c r="R41" s="20"/>
      <c r="S41" s="21">
        <v>22</v>
      </c>
      <c r="T41" s="21">
        <v>29.9</v>
      </c>
      <c r="U41" s="22" t="s">
        <v>93</v>
      </c>
      <c r="V41" s="22">
        <v>620</v>
      </c>
      <c r="W41" s="24"/>
      <c r="X41" s="35">
        <v>740</v>
      </c>
      <c r="Y41" s="35">
        <v>980</v>
      </c>
      <c r="Z41" s="35">
        <v>980</v>
      </c>
      <c r="AA41" s="25">
        <v>950</v>
      </c>
      <c r="AB41" s="35">
        <v>700</v>
      </c>
      <c r="AC41" s="36"/>
      <c r="AD41" s="36"/>
      <c r="AE41" s="22">
        <v>1745</v>
      </c>
      <c r="AF41" s="17" t="s">
        <v>93</v>
      </c>
      <c r="AG41" s="17" t="s">
        <v>93</v>
      </c>
      <c r="AH41" s="17" t="s">
        <v>93</v>
      </c>
      <c r="AI41" s="17"/>
      <c r="AJ41" s="19">
        <v>1800</v>
      </c>
      <c r="AK41" s="19">
        <v>55</v>
      </c>
      <c r="AL41" s="27">
        <v>0</v>
      </c>
      <c r="AM41" s="14" t="s">
        <v>177</v>
      </c>
      <c r="AN41" s="34" t="s">
        <v>93</v>
      </c>
      <c r="AO41" s="5" t="s">
        <v>278</v>
      </c>
      <c r="AP41" s="39" t="s">
        <v>279</v>
      </c>
      <c r="AQ41" s="29" t="str">
        <f t="shared" si="1"/>
        <v>15G(15Xanhlácây)</v>
      </c>
      <c r="AR41" s="29" t="str">
        <f t="shared" si="2"/>
        <v>15G</v>
      </c>
    </row>
    <row r="42" spans="1:44" ht="42" customHeight="1">
      <c r="A42" s="1">
        <v>360</v>
      </c>
      <c r="B42" s="12" t="s">
        <v>280</v>
      </c>
      <c r="C42" s="13" t="s">
        <v>833</v>
      </c>
      <c r="D42" s="14" t="s">
        <v>256</v>
      </c>
      <c r="E42" s="15">
        <v>46</v>
      </c>
      <c r="F42" s="15" t="s">
        <v>150</v>
      </c>
      <c r="G42" s="32" t="s">
        <v>93</v>
      </c>
      <c r="H42" s="14" t="s">
        <v>276</v>
      </c>
      <c r="I42" s="33" t="s">
        <v>30</v>
      </c>
      <c r="J42" s="17" t="s">
        <v>192</v>
      </c>
      <c r="K42" s="17" t="s">
        <v>193</v>
      </c>
      <c r="L42" s="17" t="s">
        <v>281</v>
      </c>
      <c r="M42" s="18" t="s">
        <v>103</v>
      </c>
      <c r="N42" s="18" t="s">
        <v>103</v>
      </c>
      <c r="O42" s="18">
        <v>1215</v>
      </c>
      <c r="P42" s="18">
        <v>208</v>
      </c>
      <c r="Q42" s="19">
        <v>1775</v>
      </c>
      <c r="R42" s="20">
        <v>1794.75</v>
      </c>
      <c r="S42" s="21">
        <v>38</v>
      </c>
      <c r="T42" s="21">
        <v>53</v>
      </c>
      <c r="U42" s="22" t="s">
        <v>93</v>
      </c>
      <c r="V42" s="23">
        <v>897</v>
      </c>
      <c r="W42" s="24"/>
      <c r="X42" s="25">
        <v>800</v>
      </c>
      <c r="Y42" s="25">
        <v>960</v>
      </c>
      <c r="Z42" s="25">
        <v>980</v>
      </c>
      <c r="AA42" s="25">
        <v>685</v>
      </c>
      <c r="AB42" s="25">
        <v>700</v>
      </c>
      <c r="AC42" s="26"/>
      <c r="AD42" s="26"/>
      <c r="AE42" s="22">
        <v>1770</v>
      </c>
      <c r="AF42" s="17" t="s">
        <v>93</v>
      </c>
      <c r="AG42" s="17" t="s">
        <v>93</v>
      </c>
      <c r="AH42" s="17" t="s">
        <v>93</v>
      </c>
      <c r="AI42" s="17"/>
      <c r="AJ42" s="19">
        <v>1775</v>
      </c>
      <c r="AK42" s="19">
        <v>55.25</v>
      </c>
      <c r="AL42" s="27">
        <v>54.842500000000001</v>
      </c>
      <c r="AM42" s="14" t="s">
        <v>282</v>
      </c>
      <c r="AN42" s="34" t="s">
        <v>93</v>
      </c>
      <c r="AO42" s="5" t="s">
        <v>283</v>
      </c>
      <c r="AP42" s="28" t="s">
        <v>284</v>
      </c>
      <c r="AQ42" s="29" t="str">
        <f t="shared" si="1"/>
        <v>15G10Y(15Xanhlácây10Vàng)</v>
      </c>
      <c r="AR42" s="29" t="str">
        <f t="shared" si="2"/>
        <v>15G10Y</v>
      </c>
    </row>
    <row r="43" spans="1:44" ht="42" customHeight="1">
      <c r="A43" s="1">
        <v>361</v>
      </c>
      <c r="B43" s="12" t="s">
        <v>285</v>
      </c>
      <c r="C43" s="13" t="s">
        <v>834</v>
      </c>
      <c r="D43" s="14" t="s">
        <v>286</v>
      </c>
      <c r="E43" s="15">
        <v>54</v>
      </c>
      <c r="F43" s="15" t="s">
        <v>166</v>
      </c>
      <c r="G43" s="32" t="s">
        <v>93</v>
      </c>
      <c r="H43" s="14" t="s">
        <v>196</v>
      </c>
      <c r="I43" s="33" t="s">
        <v>30</v>
      </c>
      <c r="J43" s="17" t="s">
        <v>89</v>
      </c>
      <c r="K43" s="17" t="s">
        <v>90</v>
      </c>
      <c r="L43" s="17" t="s">
        <v>287</v>
      </c>
      <c r="M43" s="18" t="s">
        <v>790</v>
      </c>
      <c r="N43" s="18" t="s">
        <v>790</v>
      </c>
      <c r="O43" s="18">
        <v>1235</v>
      </c>
      <c r="P43" s="18">
        <v>220</v>
      </c>
      <c r="Q43" s="19">
        <v>1980</v>
      </c>
      <c r="R43" s="20"/>
      <c r="S43" s="21">
        <v>17.8</v>
      </c>
      <c r="T43" s="21">
        <v>25</v>
      </c>
      <c r="U43" s="22"/>
      <c r="V43" s="23">
        <v>740</v>
      </c>
      <c r="W43" s="24"/>
      <c r="X43" s="25" t="s">
        <v>288</v>
      </c>
      <c r="Y43" s="25" t="s">
        <v>289</v>
      </c>
      <c r="Z43" s="25" t="s">
        <v>290</v>
      </c>
      <c r="AA43" s="25">
        <v>700</v>
      </c>
      <c r="AB43" s="25" t="s">
        <v>291</v>
      </c>
      <c r="AC43" s="26"/>
      <c r="AD43" s="26"/>
      <c r="AE43" s="22">
        <v>1960</v>
      </c>
      <c r="AF43" s="17" t="s">
        <v>93</v>
      </c>
      <c r="AG43" s="17" t="s">
        <v>93</v>
      </c>
      <c r="AH43" s="17" t="s">
        <v>93</v>
      </c>
      <c r="AI43" s="17"/>
      <c r="AJ43" s="19">
        <v>1980</v>
      </c>
      <c r="AK43" s="19">
        <v>60.4</v>
      </c>
      <c r="AL43" s="27">
        <v>0</v>
      </c>
      <c r="AM43" s="14" t="s">
        <v>929</v>
      </c>
      <c r="AN43" s="34" t="s">
        <v>930</v>
      </c>
      <c r="AO43" s="5" t="s">
        <v>292</v>
      </c>
      <c r="AP43" s="28" t="s">
        <v>199</v>
      </c>
      <c r="AQ43" s="29" t="str">
        <f t="shared" si="1"/>
        <v>20R10Y(20Đỏ10Vàng)</v>
      </c>
      <c r="AR43" s="29" t="str">
        <f t="shared" si="2"/>
        <v>20R10Y</v>
      </c>
    </row>
    <row r="44" spans="1:44" ht="42" customHeight="1">
      <c r="A44" s="1">
        <v>362</v>
      </c>
      <c r="B44" s="12" t="s">
        <v>293</v>
      </c>
      <c r="C44" s="13" t="s">
        <v>835</v>
      </c>
      <c r="D44" s="14" t="s">
        <v>294</v>
      </c>
      <c r="E44" s="15">
        <v>51</v>
      </c>
      <c r="F44" s="15" t="s">
        <v>150</v>
      </c>
      <c r="G44" s="32" t="s">
        <v>93</v>
      </c>
      <c r="H44" s="14" t="s">
        <v>295</v>
      </c>
      <c r="I44" s="33" t="s">
        <v>30</v>
      </c>
      <c r="J44" s="17" t="s">
        <v>192</v>
      </c>
      <c r="K44" s="17" t="s">
        <v>193</v>
      </c>
      <c r="L44" s="17" t="s">
        <v>296</v>
      </c>
      <c r="M44" s="18" t="s">
        <v>297</v>
      </c>
      <c r="N44" s="18" t="s">
        <v>297</v>
      </c>
      <c r="O44" s="18">
        <v>1215</v>
      </c>
      <c r="P44" s="18">
        <v>230</v>
      </c>
      <c r="Q44" s="19">
        <v>2395</v>
      </c>
      <c r="R44" s="20">
        <v>2419.9499999999998</v>
      </c>
      <c r="S44" s="21">
        <v>27</v>
      </c>
      <c r="T44" s="21">
        <v>37.299999999999997</v>
      </c>
      <c r="U44" s="22" t="s">
        <v>93</v>
      </c>
      <c r="V44" s="23">
        <v>600</v>
      </c>
      <c r="W44" s="24"/>
      <c r="X44" s="25">
        <v>840</v>
      </c>
      <c r="Y44" s="25">
        <v>970</v>
      </c>
      <c r="Z44" s="25">
        <v>980</v>
      </c>
      <c r="AA44" s="25">
        <v>700</v>
      </c>
      <c r="AB44" s="25">
        <v>700</v>
      </c>
      <c r="AC44" s="26"/>
      <c r="AD44" s="26"/>
      <c r="AE44" s="22">
        <v>2330</v>
      </c>
      <c r="AF44" s="17" t="s">
        <v>93</v>
      </c>
      <c r="AG44" s="17" t="s">
        <v>93</v>
      </c>
      <c r="AH44" s="17" t="s">
        <v>93</v>
      </c>
      <c r="AI44" s="17"/>
      <c r="AJ44" s="19">
        <v>2395</v>
      </c>
      <c r="AK44" s="19">
        <v>69.849999999999994</v>
      </c>
      <c r="AL44" s="27">
        <v>74.598499999999987</v>
      </c>
      <c r="AM44" s="14" t="s">
        <v>264</v>
      </c>
      <c r="AN44" s="34" t="s">
        <v>93</v>
      </c>
      <c r="AO44" s="5" t="s">
        <v>298</v>
      </c>
      <c r="AP44" s="28" t="s">
        <v>299</v>
      </c>
      <c r="AQ44" s="29" t="str">
        <f t="shared" si="1"/>
        <v>15R10R(15Đỏ10Đỏ)</v>
      </c>
      <c r="AR44" s="29" t="str">
        <f t="shared" si="2"/>
        <v>15R10R</v>
      </c>
    </row>
    <row r="45" spans="1:44" ht="42" customHeight="1">
      <c r="A45" s="1">
        <v>363</v>
      </c>
      <c r="B45" s="12" t="s">
        <v>300</v>
      </c>
      <c r="C45" s="13" t="s">
        <v>836</v>
      </c>
      <c r="D45" s="14" t="s">
        <v>294</v>
      </c>
      <c r="E45" s="15">
        <v>57</v>
      </c>
      <c r="F45" s="15" t="s">
        <v>150</v>
      </c>
      <c r="G45" s="32" t="s">
        <v>93</v>
      </c>
      <c r="H45" s="14" t="s">
        <v>301</v>
      </c>
      <c r="I45" s="33" t="s">
        <v>30</v>
      </c>
      <c r="J45" s="17" t="s">
        <v>192</v>
      </c>
      <c r="K45" s="17" t="s">
        <v>193</v>
      </c>
      <c r="L45" s="17" t="s">
        <v>302</v>
      </c>
      <c r="M45" s="18" t="s">
        <v>790</v>
      </c>
      <c r="N45" s="18" t="s">
        <v>790</v>
      </c>
      <c r="O45" s="18">
        <v>1215</v>
      </c>
      <c r="P45" s="18">
        <v>233</v>
      </c>
      <c r="Q45" s="19">
        <v>2360</v>
      </c>
      <c r="R45" s="20">
        <v>2384.6</v>
      </c>
      <c r="S45" s="21">
        <v>50</v>
      </c>
      <c r="T45" s="21">
        <v>66</v>
      </c>
      <c r="U45" s="22" t="s">
        <v>93</v>
      </c>
      <c r="V45" s="22">
        <v>963</v>
      </c>
      <c r="W45" s="24"/>
      <c r="X45" s="35">
        <v>800</v>
      </c>
      <c r="Y45" s="35">
        <v>940</v>
      </c>
      <c r="Z45" s="35">
        <v>980</v>
      </c>
      <c r="AA45" s="25">
        <v>680</v>
      </c>
      <c r="AB45" s="35">
        <v>700</v>
      </c>
      <c r="AC45" s="36"/>
      <c r="AD45" s="36"/>
      <c r="AE45" s="22">
        <v>2390</v>
      </c>
      <c r="AF45" s="17" t="s">
        <v>93</v>
      </c>
      <c r="AG45" s="17" t="s">
        <v>93</v>
      </c>
      <c r="AH45" s="17" t="s">
        <v>93</v>
      </c>
      <c r="AI45" s="17"/>
      <c r="AJ45" s="19">
        <v>2360</v>
      </c>
      <c r="AK45" s="19">
        <v>69.8</v>
      </c>
      <c r="AL45" s="27">
        <v>69.537999999999997</v>
      </c>
      <c r="AM45" s="14" t="s">
        <v>303</v>
      </c>
      <c r="AN45" s="17" t="s">
        <v>93</v>
      </c>
      <c r="AO45" s="5" t="s">
        <v>304</v>
      </c>
      <c r="AP45" s="39" t="s">
        <v>305</v>
      </c>
      <c r="AQ45" s="29" t="str">
        <f t="shared" si="1"/>
        <v>15B10B(15XDT10XDT)</v>
      </c>
      <c r="AR45" s="29" t="str">
        <f t="shared" si="2"/>
        <v>15B10B</v>
      </c>
    </row>
    <row r="46" spans="1:44" ht="42" customHeight="1">
      <c r="A46" s="1">
        <v>364</v>
      </c>
      <c r="B46" s="12" t="s">
        <v>306</v>
      </c>
      <c r="C46" s="13" t="s">
        <v>837</v>
      </c>
      <c r="D46" s="14" t="s">
        <v>294</v>
      </c>
      <c r="E46" s="15">
        <v>57</v>
      </c>
      <c r="F46" s="15" t="s">
        <v>150</v>
      </c>
      <c r="G46" s="32" t="s">
        <v>93</v>
      </c>
      <c r="H46" s="14" t="s">
        <v>307</v>
      </c>
      <c r="I46" s="33" t="s">
        <v>30</v>
      </c>
      <c r="J46" s="17" t="s">
        <v>192</v>
      </c>
      <c r="K46" s="17" t="s">
        <v>193</v>
      </c>
      <c r="L46" s="17" t="s">
        <v>296</v>
      </c>
      <c r="M46" s="18" t="s">
        <v>297</v>
      </c>
      <c r="N46" s="18" t="s">
        <v>297</v>
      </c>
      <c r="O46" s="18">
        <v>1215</v>
      </c>
      <c r="P46" s="18">
        <v>230</v>
      </c>
      <c r="Q46" s="19">
        <v>2395</v>
      </c>
      <c r="R46" s="20">
        <v>2419.9499999999998</v>
      </c>
      <c r="S46" s="21">
        <v>27</v>
      </c>
      <c r="T46" s="21">
        <v>37.299999999999997</v>
      </c>
      <c r="U46" s="22" t="s">
        <v>93</v>
      </c>
      <c r="V46" s="23">
        <v>600</v>
      </c>
      <c r="W46" s="24"/>
      <c r="X46" s="25">
        <v>840</v>
      </c>
      <c r="Y46" s="25">
        <v>970</v>
      </c>
      <c r="Z46" s="25">
        <v>980</v>
      </c>
      <c r="AA46" s="25">
        <v>700</v>
      </c>
      <c r="AB46" s="25">
        <v>700</v>
      </c>
      <c r="AC46" s="26"/>
      <c r="AD46" s="26"/>
      <c r="AE46" s="22">
        <v>2330</v>
      </c>
      <c r="AF46" s="17" t="s">
        <v>93</v>
      </c>
      <c r="AG46" s="17" t="s">
        <v>93</v>
      </c>
      <c r="AH46" s="17" t="s">
        <v>93</v>
      </c>
      <c r="AI46" s="17"/>
      <c r="AJ46" s="19">
        <v>2395</v>
      </c>
      <c r="AK46" s="19">
        <v>69.849999999999994</v>
      </c>
      <c r="AL46" s="27">
        <v>74.598499999999987</v>
      </c>
      <c r="AM46" s="14" t="s">
        <v>308</v>
      </c>
      <c r="AN46" s="17" t="s">
        <v>93</v>
      </c>
      <c r="AO46" s="5" t="s">
        <v>309</v>
      </c>
      <c r="AP46" s="28" t="s">
        <v>299</v>
      </c>
      <c r="AQ46" s="29" t="str">
        <f t="shared" si="1"/>
        <v>15Y10Y(15Vàng10Vàng)</v>
      </c>
      <c r="AR46" s="29" t="str">
        <f t="shared" si="2"/>
        <v>15Y10Y</v>
      </c>
    </row>
    <row r="47" spans="1:44" ht="42" customHeight="1">
      <c r="A47" s="1">
        <v>365</v>
      </c>
      <c r="B47" s="12" t="s">
        <v>310</v>
      </c>
      <c r="C47" s="13" t="s">
        <v>838</v>
      </c>
      <c r="D47" s="14" t="s">
        <v>311</v>
      </c>
      <c r="E47" s="15">
        <v>47</v>
      </c>
      <c r="F47" s="15" t="s">
        <v>166</v>
      </c>
      <c r="G47" s="32" t="s">
        <v>93</v>
      </c>
      <c r="H47" s="14" t="s">
        <v>196</v>
      </c>
      <c r="I47" s="33" t="s">
        <v>30</v>
      </c>
      <c r="J47" s="17" t="s">
        <v>89</v>
      </c>
      <c r="K47" s="17" t="s">
        <v>90</v>
      </c>
      <c r="L47" s="17" t="s">
        <v>312</v>
      </c>
      <c r="M47" s="18" t="s">
        <v>790</v>
      </c>
      <c r="N47" s="18" t="s">
        <v>790</v>
      </c>
      <c r="O47" s="18">
        <v>1330</v>
      </c>
      <c r="P47" s="18">
        <v>175</v>
      </c>
      <c r="Q47" s="19">
        <v>1420</v>
      </c>
      <c r="R47" s="20"/>
      <c r="S47" s="21">
        <v>22.5</v>
      </c>
      <c r="T47" s="21">
        <v>30.7</v>
      </c>
      <c r="U47" s="22" t="s">
        <v>93</v>
      </c>
      <c r="V47" s="22">
        <v>700</v>
      </c>
      <c r="W47" s="24"/>
      <c r="X47" s="35">
        <v>760</v>
      </c>
      <c r="Y47" s="35">
        <v>970</v>
      </c>
      <c r="Z47" s="35">
        <v>980</v>
      </c>
      <c r="AA47" s="25">
        <v>700</v>
      </c>
      <c r="AB47" s="35">
        <v>700</v>
      </c>
      <c r="AC47" s="36"/>
      <c r="AD47" s="36"/>
      <c r="AE47" s="22">
        <v>1455</v>
      </c>
      <c r="AF47" s="17" t="s">
        <v>93</v>
      </c>
      <c r="AG47" s="17" t="s">
        <v>93</v>
      </c>
      <c r="AH47" s="17" t="s">
        <v>93</v>
      </c>
      <c r="AI47" s="17"/>
      <c r="AJ47" s="19">
        <v>1420</v>
      </c>
      <c r="AK47" s="19">
        <v>44.6</v>
      </c>
      <c r="AL47" s="27">
        <v>0</v>
      </c>
      <c r="AM47" s="14" t="s">
        <v>204</v>
      </c>
      <c r="AN47" s="17" t="s">
        <v>93</v>
      </c>
      <c r="AO47" s="5" t="s">
        <v>313</v>
      </c>
      <c r="AP47" s="37" t="s">
        <v>206</v>
      </c>
      <c r="AQ47" s="29" t="str">
        <f t="shared" si="1"/>
        <v>20V(20Tím)</v>
      </c>
      <c r="AR47" s="29" t="str">
        <f t="shared" si="2"/>
        <v>20V</v>
      </c>
    </row>
    <row r="48" spans="1:44" ht="42" customHeight="1">
      <c r="A48" s="1">
        <v>366</v>
      </c>
      <c r="B48" s="12" t="s">
        <v>314</v>
      </c>
      <c r="C48" s="13" t="s">
        <v>839</v>
      </c>
      <c r="D48" s="14" t="s">
        <v>315</v>
      </c>
      <c r="E48" s="15">
        <v>40</v>
      </c>
      <c r="F48" s="15" t="s">
        <v>150</v>
      </c>
      <c r="G48" s="32" t="s">
        <v>93</v>
      </c>
      <c r="H48" s="14" t="s">
        <v>316</v>
      </c>
      <c r="I48" s="33" t="s">
        <v>30</v>
      </c>
      <c r="J48" s="17" t="s">
        <v>89</v>
      </c>
      <c r="K48" s="17" t="s">
        <v>90</v>
      </c>
      <c r="L48" s="17" t="s">
        <v>317</v>
      </c>
      <c r="M48" s="18" t="s">
        <v>263</v>
      </c>
      <c r="N48" s="18" t="s">
        <v>263</v>
      </c>
      <c r="O48" s="18">
        <v>1375</v>
      </c>
      <c r="P48" s="18">
        <v>160</v>
      </c>
      <c r="Q48" s="19">
        <v>1410</v>
      </c>
      <c r="R48" s="20"/>
      <c r="S48" s="21">
        <v>10.7</v>
      </c>
      <c r="T48" s="21">
        <v>15.7</v>
      </c>
      <c r="U48" s="22" t="s">
        <v>93</v>
      </c>
      <c r="V48" s="22">
        <v>560</v>
      </c>
      <c r="W48" s="24"/>
      <c r="X48" s="35">
        <v>725</v>
      </c>
      <c r="Y48" s="35">
        <v>980</v>
      </c>
      <c r="Z48" s="35">
        <v>980</v>
      </c>
      <c r="AA48" s="25">
        <v>700</v>
      </c>
      <c r="AB48" s="35">
        <v>700</v>
      </c>
      <c r="AC48" s="36"/>
      <c r="AD48" s="36"/>
      <c r="AE48" s="22">
        <v>1350</v>
      </c>
      <c r="AF48" s="17" t="s">
        <v>93</v>
      </c>
      <c r="AG48" s="17" t="s">
        <v>93</v>
      </c>
      <c r="AH48" s="17" t="s">
        <v>93</v>
      </c>
      <c r="AI48" s="17"/>
      <c r="AJ48" s="19">
        <v>1410</v>
      </c>
      <c r="AK48" s="19">
        <v>42.3</v>
      </c>
      <c r="AL48" s="27">
        <v>0</v>
      </c>
      <c r="AM48" s="14" t="s">
        <v>138</v>
      </c>
      <c r="AN48" s="17" t="s">
        <v>93</v>
      </c>
      <c r="AO48" s="5" t="s">
        <v>318</v>
      </c>
      <c r="AP48" s="37" t="s">
        <v>319</v>
      </c>
      <c r="AQ48" s="29" t="str">
        <f t="shared" si="1"/>
        <v>15B10G(15XDT10Xanhlácây)</v>
      </c>
      <c r="AR48" s="29" t="str">
        <f t="shared" si="2"/>
        <v>15B10G</v>
      </c>
    </row>
    <row r="49" spans="1:44" ht="42" customHeight="1">
      <c r="A49" s="1">
        <v>367</v>
      </c>
      <c r="B49" s="12" t="s">
        <v>320</v>
      </c>
      <c r="C49" s="13" t="s">
        <v>840</v>
      </c>
      <c r="D49" s="14" t="s">
        <v>321</v>
      </c>
      <c r="E49" s="15">
        <v>45</v>
      </c>
      <c r="F49" s="15" t="s">
        <v>150</v>
      </c>
      <c r="G49" s="32" t="s">
        <v>93</v>
      </c>
      <c r="H49" s="14" t="s">
        <v>316</v>
      </c>
      <c r="I49" s="33" t="s">
        <v>30</v>
      </c>
      <c r="J49" s="17" t="s">
        <v>89</v>
      </c>
      <c r="K49" s="17" t="s">
        <v>90</v>
      </c>
      <c r="L49" s="17" t="s">
        <v>322</v>
      </c>
      <c r="M49" s="18" t="s">
        <v>263</v>
      </c>
      <c r="N49" s="18" t="s">
        <v>263</v>
      </c>
      <c r="O49" s="18">
        <v>1380</v>
      </c>
      <c r="P49" s="18">
        <v>182</v>
      </c>
      <c r="Q49" s="19">
        <v>2025</v>
      </c>
      <c r="R49" s="20"/>
      <c r="S49" s="21" t="s">
        <v>93</v>
      </c>
      <c r="T49" s="21" t="s">
        <v>93</v>
      </c>
      <c r="U49" s="22" t="s">
        <v>93</v>
      </c>
      <c r="V49" s="22" t="s">
        <v>93</v>
      </c>
      <c r="W49" s="24"/>
      <c r="X49" s="35" t="s">
        <v>93</v>
      </c>
      <c r="Y49" s="35" t="s">
        <v>93</v>
      </c>
      <c r="Z49" s="35" t="s">
        <v>93</v>
      </c>
      <c r="AA49" s="35" t="s">
        <v>93</v>
      </c>
      <c r="AB49" s="35" t="s">
        <v>93</v>
      </c>
      <c r="AC49" s="36"/>
      <c r="AD49" s="36"/>
      <c r="AE49" s="22" t="s">
        <v>93</v>
      </c>
      <c r="AF49" s="17" t="s">
        <v>93</v>
      </c>
      <c r="AG49" s="17" t="s">
        <v>93</v>
      </c>
      <c r="AH49" s="17" t="s">
        <v>93</v>
      </c>
      <c r="AI49" s="17"/>
      <c r="AJ49" s="19">
        <v>2025</v>
      </c>
      <c r="AK49" s="19">
        <v>59.75</v>
      </c>
      <c r="AL49" s="27">
        <v>0</v>
      </c>
      <c r="AM49" s="14" t="s">
        <v>323</v>
      </c>
      <c r="AN49" s="17" t="s">
        <v>93</v>
      </c>
      <c r="AO49" s="5" t="s">
        <v>324</v>
      </c>
      <c r="AP49" s="37" t="s">
        <v>325</v>
      </c>
      <c r="AQ49" s="29" t="str">
        <f t="shared" si="1"/>
        <v>15R10W(15Đỏ10Trắng)</v>
      </c>
      <c r="AR49" s="29" t="str">
        <f t="shared" si="2"/>
        <v>15R10W</v>
      </c>
    </row>
    <row r="50" spans="1:44" ht="42" customHeight="1">
      <c r="A50" s="1">
        <v>368</v>
      </c>
      <c r="B50" s="35" t="s">
        <v>326</v>
      </c>
      <c r="C50" s="13" t="s">
        <v>841</v>
      </c>
      <c r="D50" s="14" t="s">
        <v>327</v>
      </c>
      <c r="E50" s="15">
        <v>36</v>
      </c>
      <c r="F50" s="15" t="s">
        <v>150</v>
      </c>
      <c r="G50" s="32" t="s">
        <v>93</v>
      </c>
      <c r="H50" s="14" t="s">
        <v>328</v>
      </c>
      <c r="I50" s="16" t="s">
        <v>93</v>
      </c>
      <c r="J50" s="17" t="s">
        <v>89</v>
      </c>
      <c r="K50" s="17" t="s">
        <v>90</v>
      </c>
      <c r="L50" s="17" t="s">
        <v>329</v>
      </c>
      <c r="M50" s="18" t="s">
        <v>790</v>
      </c>
      <c r="N50" s="18" t="s">
        <v>790</v>
      </c>
      <c r="O50" s="18">
        <v>1355</v>
      </c>
      <c r="P50" s="18">
        <v>170</v>
      </c>
      <c r="Q50" s="19">
        <v>1310</v>
      </c>
      <c r="R50" s="20"/>
      <c r="S50" s="21">
        <v>19.5</v>
      </c>
      <c r="T50" s="21">
        <v>26.7</v>
      </c>
      <c r="U50" s="22" t="s">
        <v>93</v>
      </c>
      <c r="V50" s="22">
        <v>900</v>
      </c>
      <c r="W50" s="24"/>
      <c r="X50" s="35">
        <v>750</v>
      </c>
      <c r="Y50" s="35">
        <v>960</v>
      </c>
      <c r="Z50" s="35">
        <v>980</v>
      </c>
      <c r="AA50" s="35">
        <v>700</v>
      </c>
      <c r="AB50" s="35">
        <v>700</v>
      </c>
      <c r="AC50" s="36"/>
      <c r="AD50" s="36"/>
      <c r="AE50" s="22">
        <v>1310</v>
      </c>
      <c r="AF50" s="17" t="s">
        <v>93</v>
      </c>
      <c r="AG50" s="17" t="s">
        <v>93</v>
      </c>
      <c r="AH50" s="17" t="s">
        <v>93</v>
      </c>
      <c r="AI50" s="17"/>
      <c r="AJ50" s="19">
        <v>1310</v>
      </c>
      <c r="AK50" s="19">
        <v>40.299999999999997</v>
      </c>
      <c r="AL50" s="27">
        <v>0</v>
      </c>
      <c r="AM50" s="14" t="s">
        <v>330</v>
      </c>
      <c r="AN50" s="17" t="s">
        <v>93</v>
      </c>
      <c r="AO50" s="5" t="s">
        <v>331</v>
      </c>
      <c r="AP50" s="28" t="s">
        <v>332</v>
      </c>
      <c r="AQ50" s="29" t="str">
        <f t="shared" si="1"/>
        <v>20G10G(20Xanhlácây10Xanhlácây)</v>
      </c>
      <c r="AR50" s="29" t="str">
        <f t="shared" si="2"/>
        <v>20G10G</v>
      </c>
    </row>
    <row r="51" spans="1:44" ht="42" customHeight="1">
      <c r="A51" s="1">
        <v>369</v>
      </c>
      <c r="B51" s="12" t="s">
        <v>333</v>
      </c>
      <c r="C51" s="13" t="s">
        <v>842</v>
      </c>
      <c r="D51" s="14" t="s">
        <v>327</v>
      </c>
      <c r="E51" s="15">
        <v>36</v>
      </c>
      <c r="F51" s="15" t="s">
        <v>150</v>
      </c>
      <c r="G51" s="32" t="s">
        <v>93</v>
      </c>
      <c r="H51" s="14" t="s">
        <v>219</v>
      </c>
      <c r="I51" s="33" t="s">
        <v>30</v>
      </c>
      <c r="J51" s="17" t="s">
        <v>89</v>
      </c>
      <c r="K51" s="17" t="s">
        <v>90</v>
      </c>
      <c r="L51" s="17" t="s">
        <v>334</v>
      </c>
      <c r="M51" s="18" t="s">
        <v>790</v>
      </c>
      <c r="N51" s="18" t="s">
        <v>790</v>
      </c>
      <c r="O51" s="18">
        <v>1375</v>
      </c>
      <c r="P51" s="18">
        <v>162</v>
      </c>
      <c r="Q51" s="19">
        <v>1295</v>
      </c>
      <c r="R51" s="20"/>
      <c r="S51" s="21">
        <v>18.3</v>
      </c>
      <c r="T51" s="21">
        <v>24.9</v>
      </c>
      <c r="U51" s="22" t="s">
        <v>93</v>
      </c>
      <c r="V51" s="23">
        <v>700</v>
      </c>
      <c r="W51" s="24"/>
      <c r="X51" s="25">
        <v>860</v>
      </c>
      <c r="Y51" s="25">
        <v>940</v>
      </c>
      <c r="Z51" s="25">
        <v>980</v>
      </c>
      <c r="AA51" s="35">
        <v>700</v>
      </c>
      <c r="AB51" s="25">
        <v>700</v>
      </c>
      <c r="AC51" s="26"/>
      <c r="AD51" s="26"/>
      <c r="AE51" s="22">
        <v>1190</v>
      </c>
      <c r="AF51" s="17" t="s">
        <v>335</v>
      </c>
      <c r="AG51" s="17" t="s">
        <v>336</v>
      </c>
      <c r="AH51" s="17" t="s">
        <v>931</v>
      </c>
      <c r="AI51" s="17">
        <v>47</v>
      </c>
      <c r="AJ51" s="19">
        <v>1340</v>
      </c>
      <c r="AK51" s="19">
        <v>40.199999999999996</v>
      </c>
      <c r="AL51" s="27">
        <v>0</v>
      </c>
      <c r="AM51" s="14" t="s">
        <v>152</v>
      </c>
      <c r="AN51" s="17" t="s">
        <v>93</v>
      </c>
      <c r="AO51" s="5" t="s">
        <v>337</v>
      </c>
      <c r="AP51" s="28" t="s">
        <v>338</v>
      </c>
      <c r="AQ51" s="29" t="str">
        <f t="shared" si="1"/>
        <v>15W(15Trắng)</v>
      </c>
      <c r="AR51" s="29" t="str">
        <f t="shared" si="2"/>
        <v>15W</v>
      </c>
    </row>
    <row r="52" spans="1:44" ht="42" customHeight="1">
      <c r="A52" s="1">
        <v>370</v>
      </c>
      <c r="B52" s="12" t="s">
        <v>339</v>
      </c>
      <c r="C52" s="13" t="s">
        <v>843</v>
      </c>
      <c r="D52" s="14" t="s">
        <v>340</v>
      </c>
      <c r="E52" s="15">
        <v>43</v>
      </c>
      <c r="F52" s="15" t="s">
        <v>150</v>
      </c>
      <c r="G52" s="32" t="s">
        <v>93</v>
      </c>
      <c r="H52" s="14" t="s">
        <v>250</v>
      </c>
      <c r="I52" s="33" t="s">
        <v>93</v>
      </c>
      <c r="J52" s="17" t="s">
        <v>89</v>
      </c>
      <c r="K52" s="17" t="s">
        <v>90</v>
      </c>
      <c r="L52" s="17" t="s">
        <v>341</v>
      </c>
      <c r="M52" s="18" t="s">
        <v>790</v>
      </c>
      <c r="N52" s="18" t="s">
        <v>790</v>
      </c>
      <c r="O52" s="18">
        <v>1355</v>
      </c>
      <c r="P52" s="18">
        <v>186</v>
      </c>
      <c r="Q52" s="19">
        <v>1520</v>
      </c>
      <c r="R52" s="20"/>
      <c r="S52" s="21">
        <v>21</v>
      </c>
      <c r="T52" s="21">
        <v>29.1</v>
      </c>
      <c r="U52" s="22" t="s">
        <v>93</v>
      </c>
      <c r="V52" s="23">
        <v>800</v>
      </c>
      <c r="W52" s="24"/>
      <c r="X52" s="25">
        <v>810</v>
      </c>
      <c r="Y52" s="25">
        <v>960</v>
      </c>
      <c r="Z52" s="25">
        <v>980</v>
      </c>
      <c r="AA52" s="35">
        <v>700</v>
      </c>
      <c r="AB52" s="25">
        <v>700</v>
      </c>
      <c r="AC52" s="26"/>
      <c r="AD52" s="26"/>
      <c r="AE52" s="22">
        <v>1415</v>
      </c>
      <c r="AF52" s="17" t="s">
        <v>93</v>
      </c>
      <c r="AG52" s="17" t="s">
        <v>93</v>
      </c>
      <c r="AH52" s="17" t="s">
        <v>93</v>
      </c>
      <c r="AI52" s="17"/>
      <c r="AJ52" s="19">
        <v>1520</v>
      </c>
      <c r="AK52" s="19">
        <v>44.6</v>
      </c>
      <c r="AL52" s="27">
        <v>0</v>
      </c>
      <c r="AM52" s="14" t="s">
        <v>264</v>
      </c>
      <c r="AN52" s="17" t="s">
        <v>93</v>
      </c>
      <c r="AO52" s="5" t="s">
        <v>342</v>
      </c>
      <c r="AP52" s="28" t="s">
        <v>343</v>
      </c>
      <c r="AQ52" s="29" t="str">
        <f t="shared" si="1"/>
        <v>15R10R(15Đỏ10Đỏ)</v>
      </c>
      <c r="AR52" s="29" t="str">
        <f t="shared" si="2"/>
        <v>15R10R</v>
      </c>
    </row>
    <row r="53" spans="1:44" ht="42" customHeight="1">
      <c r="A53" s="1">
        <v>371</v>
      </c>
      <c r="B53" s="12" t="s">
        <v>344</v>
      </c>
      <c r="C53" s="13" t="s">
        <v>844</v>
      </c>
      <c r="D53" s="14" t="s">
        <v>340</v>
      </c>
      <c r="E53" s="15">
        <v>48</v>
      </c>
      <c r="F53" s="15" t="s">
        <v>150</v>
      </c>
      <c r="G53" s="32" t="s">
        <v>93</v>
      </c>
      <c r="H53" s="14" t="s">
        <v>238</v>
      </c>
      <c r="I53" s="33" t="s">
        <v>30</v>
      </c>
      <c r="J53" s="17" t="s">
        <v>89</v>
      </c>
      <c r="K53" s="17" t="s">
        <v>90</v>
      </c>
      <c r="L53" s="17" t="s">
        <v>345</v>
      </c>
      <c r="M53" s="18" t="s">
        <v>790</v>
      </c>
      <c r="N53" s="18" t="s">
        <v>790</v>
      </c>
      <c r="O53" s="18">
        <v>1375</v>
      </c>
      <c r="P53" s="18">
        <v>198</v>
      </c>
      <c r="Q53" s="19">
        <v>1535</v>
      </c>
      <c r="R53" s="20"/>
      <c r="S53" s="21">
        <v>18.3</v>
      </c>
      <c r="T53" s="21">
        <v>24.9</v>
      </c>
      <c r="U53" s="22" t="s">
        <v>93</v>
      </c>
      <c r="V53" s="23">
        <v>600</v>
      </c>
      <c r="W53" s="24"/>
      <c r="X53" s="25">
        <v>910</v>
      </c>
      <c r="Y53" s="25">
        <v>960</v>
      </c>
      <c r="Z53" s="25">
        <v>980</v>
      </c>
      <c r="AA53" s="35">
        <v>700</v>
      </c>
      <c r="AB53" s="25">
        <v>900</v>
      </c>
      <c r="AC53" s="26"/>
      <c r="AD53" s="26"/>
      <c r="AE53" s="22">
        <v>1580</v>
      </c>
      <c r="AF53" s="17" t="s">
        <v>335</v>
      </c>
      <c r="AG53" s="17" t="s">
        <v>932</v>
      </c>
      <c r="AH53" s="17" t="s">
        <v>931</v>
      </c>
      <c r="AI53" s="17">
        <v>47</v>
      </c>
      <c r="AJ53" s="19">
        <v>1580.0250000000001</v>
      </c>
      <c r="AK53" s="19">
        <v>45.400750000000002</v>
      </c>
      <c r="AL53" s="27">
        <v>0</v>
      </c>
      <c r="AM53" s="14" t="s">
        <v>269</v>
      </c>
      <c r="AN53" s="17" t="s">
        <v>93</v>
      </c>
      <c r="AO53" s="5" t="s">
        <v>346</v>
      </c>
      <c r="AP53" s="28" t="s">
        <v>347</v>
      </c>
      <c r="AQ53" s="29" t="str">
        <f t="shared" si="1"/>
        <v>15Y(15Vàng)</v>
      </c>
      <c r="AR53" s="29" t="str">
        <f t="shared" si="2"/>
        <v>15Y</v>
      </c>
    </row>
    <row r="54" spans="1:44" ht="42" customHeight="1">
      <c r="A54" s="1">
        <v>372</v>
      </c>
      <c r="B54" s="12" t="s">
        <v>348</v>
      </c>
      <c r="C54" s="13" t="s">
        <v>845</v>
      </c>
      <c r="D54" s="14" t="s">
        <v>340</v>
      </c>
      <c r="E54" s="15">
        <v>48</v>
      </c>
      <c r="F54" s="15" t="s">
        <v>150</v>
      </c>
      <c r="G54" s="32" t="s">
        <v>93</v>
      </c>
      <c r="H54" s="14" t="s">
        <v>238</v>
      </c>
      <c r="I54" s="33" t="s">
        <v>30</v>
      </c>
      <c r="J54" s="17" t="s">
        <v>192</v>
      </c>
      <c r="K54" s="17" t="s">
        <v>193</v>
      </c>
      <c r="L54" s="17" t="s">
        <v>345</v>
      </c>
      <c r="M54" s="18" t="s">
        <v>790</v>
      </c>
      <c r="N54" s="18" t="s">
        <v>790</v>
      </c>
      <c r="O54" s="18">
        <v>1375</v>
      </c>
      <c r="P54" s="18">
        <v>198</v>
      </c>
      <c r="Q54" s="19">
        <v>1535</v>
      </c>
      <c r="R54" s="20">
        <v>1594.8252500000001</v>
      </c>
      <c r="S54" s="21">
        <v>18.3</v>
      </c>
      <c r="T54" s="21">
        <v>24.9</v>
      </c>
      <c r="U54" s="22" t="s">
        <v>93</v>
      </c>
      <c r="V54" s="23">
        <v>600</v>
      </c>
      <c r="W54" s="24"/>
      <c r="X54" s="25">
        <v>910</v>
      </c>
      <c r="Y54" s="25">
        <v>960</v>
      </c>
      <c r="Z54" s="25">
        <v>980</v>
      </c>
      <c r="AA54" s="35">
        <v>700</v>
      </c>
      <c r="AB54" s="25">
        <v>900</v>
      </c>
      <c r="AC54" s="26"/>
      <c r="AD54" s="26"/>
      <c r="AE54" s="22">
        <v>1580</v>
      </c>
      <c r="AF54" s="17" t="s">
        <v>335</v>
      </c>
      <c r="AG54" s="17" t="s">
        <v>336</v>
      </c>
      <c r="AH54" s="17" t="s">
        <v>931</v>
      </c>
      <c r="AI54" s="17">
        <v>47</v>
      </c>
      <c r="AJ54" s="19">
        <v>1580.0250000000001</v>
      </c>
      <c r="AK54" s="19">
        <v>45.400750000000002</v>
      </c>
      <c r="AL54" s="27">
        <v>49.8447575</v>
      </c>
      <c r="AM54" s="14" t="s">
        <v>269</v>
      </c>
      <c r="AN54" s="17" t="s">
        <v>93</v>
      </c>
      <c r="AO54" s="5" t="s">
        <v>346</v>
      </c>
      <c r="AP54" s="28" t="s">
        <v>93</v>
      </c>
      <c r="AQ54" s="29" t="str">
        <f t="shared" si="1"/>
        <v>15Y(15Vàng)</v>
      </c>
      <c r="AR54" s="29" t="str">
        <f t="shared" si="2"/>
        <v>15Y</v>
      </c>
    </row>
    <row r="55" spans="1:44" ht="42" customHeight="1">
      <c r="A55" s="1">
        <v>373</v>
      </c>
      <c r="B55" s="12" t="s">
        <v>349</v>
      </c>
      <c r="C55" s="13" t="s">
        <v>846</v>
      </c>
      <c r="D55" s="14" t="s">
        <v>340</v>
      </c>
      <c r="E55" s="15">
        <v>43</v>
      </c>
      <c r="F55" s="15" t="s">
        <v>150</v>
      </c>
      <c r="G55" s="32" t="s">
        <v>93</v>
      </c>
      <c r="H55" s="14" t="s">
        <v>238</v>
      </c>
      <c r="I55" s="16" t="s">
        <v>93</v>
      </c>
      <c r="J55" s="17" t="s">
        <v>89</v>
      </c>
      <c r="K55" s="17" t="s">
        <v>90</v>
      </c>
      <c r="L55" s="17" t="s">
        <v>341</v>
      </c>
      <c r="M55" s="18" t="s">
        <v>790</v>
      </c>
      <c r="N55" s="18" t="s">
        <v>790</v>
      </c>
      <c r="O55" s="18">
        <v>1350</v>
      </c>
      <c r="P55" s="18">
        <v>186</v>
      </c>
      <c r="Q55" s="19">
        <v>1520</v>
      </c>
      <c r="R55" s="20"/>
      <c r="S55" s="21">
        <v>12.5</v>
      </c>
      <c r="T55" s="21">
        <v>17</v>
      </c>
      <c r="U55" s="22" t="s">
        <v>93</v>
      </c>
      <c r="V55" s="22">
        <v>530</v>
      </c>
      <c r="W55" s="24"/>
      <c r="X55" s="33">
        <v>770</v>
      </c>
      <c r="Y55" s="33">
        <v>950</v>
      </c>
      <c r="Z55" s="33">
        <v>980</v>
      </c>
      <c r="AA55" s="35">
        <v>700</v>
      </c>
      <c r="AB55" s="33">
        <v>700</v>
      </c>
      <c r="AC55" s="40"/>
      <c r="AD55" s="40"/>
      <c r="AE55" s="22">
        <v>1415</v>
      </c>
      <c r="AF55" s="17" t="s">
        <v>93</v>
      </c>
      <c r="AG55" s="17" t="s">
        <v>93</v>
      </c>
      <c r="AH55" s="17" t="s">
        <v>93</v>
      </c>
      <c r="AI55" s="41"/>
      <c r="AJ55" s="19">
        <v>1520</v>
      </c>
      <c r="AK55" s="19">
        <v>44.6</v>
      </c>
      <c r="AL55" s="27">
        <v>0</v>
      </c>
      <c r="AM55" s="14" t="s">
        <v>177</v>
      </c>
      <c r="AN55" s="17" t="s">
        <v>93</v>
      </c>
      <c r="AO55" s="5" t="s">
        <v>350</v>
      </c>
      <c r="AP55" s="28" t="s">
        <v>93</v>
      </c>
      <c r="AQ55" s="29" t="str">
        <f t="shared" si="1"/>
        <v>15G(15Xanhlácây)</v>
      </c>
      <c r="AR55" s="29" t="str">
        <f t="shared" si="2"/>
        <v>15G</v>
      </c>
    </row>
    <row r="56" spans="1:44" ht="42" customHeight="1">
      <c r="A56" s="1">
        <v>374</v>
      </c>
      <c r="B56" s="12" t="s">
        <v>351</v>
      </c>
      <c r="C56" s="13" t="s">
        <v>847</v>
      </c>
      <c r="D56" s="14" t="s">
        <v>340</v>
      </c>
      <c r="E56" s="15">
        <v>43</v>
      </c>
      <c r="F56" s="15" t="s">
        <v>150</v>
      </c>
      <c r="G56" s="32" t="s">
        <v>93</v>
      </c>
      <c r="H56" s="14" t="s">
        <v>276</v>
      </c>
      <c r="I56" s="33" t="s">
        <v>30</v>
      </c>
      <c r="J56" s="17" t="s">
        <v>89</v>
      </c>
      <c r="K56" s="17" t="s">
        <v>90</v>
      </c>
      <c r="L56" s="17" t="s">
        <v>352</v>
      </c>
      <c r="M56" s="18" t="s">
        <v>790</v>
      </c>
      <c r="N56" s="18" t="s">
        <v>790</v>
      </c>
      <c r="O56" s="18">
        <v>1375</v>
      </c>
      <c r="P56" s="18">
        <v>175</v>
      </c>
      <c r="Q56" s="19">
        <v>1500</v>
      </c>
      <c r="R56" s="20"/>
      <c r="S56" s="21">
        <v>24</v>
      </c>
      <c r="T56" s="21">
        <v>36</v>
      </c>
      <c r="U56" s="22">
        <v>15.7</v>
      </c>
      <c r="V56" s="22">
        <v>897</v>
      </c>
      <c r="W56" s="24"/>
      <c r="X56" s="35">
        <v>830</v>
      </c>
      <c r="Y56" s="35">
        <v>930</v>
      </c>
      <c r="Z56" s="35">
        <v>980</v>
      </c>
      <c r="AA56" s="35">
        <v>680</v>
      </c>
      <c r="AB56" s="35">
        <v>700</v>
      </c>
      <c r="AC56" s="36"/>
      <c r="AD56" s="36"/>
      <c r="AE56" s="22">
        <v>1550</v>
      </c>
      <c r="AF56" s="17" t="s">
        <v>93</v>
      </c>
      <c r="AG56" s="17" t="s">
        <v>93</v>
      </c>
      <c r="AH56" s="17" t="s">
        <v>93</v>
      </c>
      <c r="AI56" s="41"/>
      <c r="AJ56" s="19">
        <v>1500</v>
      </c>
      <c r="AK56" s="19">
        <v>45</v>
      </c>
      <c r="AL56" s="27">
        <v>0</v>
      </c>
      <c r="AM56" s="14" t="s">
        <v>353</v>
      </c>
      <c r="AN56" s="17" t="s">
        <v>93</v>
      </c>
      <c r="AO56" s="5" t="s">
        <v>354</v>
      </c>
      <c r="AP56" s="37" t="s">
        <v>179</v>
      </c>
      <c r="AQ56" s="29" t="str">
        <f t="shared" si="1"/>
        <v>10W25R(10Trắng25Đỏ)</v>
      </c>
      <c r="AR56" s="29" t="str">
        <f t="shared" si="2"/>
        <v>10W25R</v>
      </c>
    </row>
    <row r="57" spans="1:44" ht="42" customHeight="1">
      <c r="A57" s="1">
        <v>375</v>
      </c>
      <c r="B57" s="12" t="s">
        <v>355</v>
      </c>
      <c r="C57" s="13" t="s">
        <v>848</v>
      </c>
      <c r="D57" s="14" t="s">
        <v>356</v>
      </c>
      <c r="E57" s="15">
        <v>50</v>
      </c>
      <c r="F57" s="15" t="s">
        <v>150</v>
      </c>
      <c r="G57" s="32" t="s">
        <v>93</v>
      </c>
      <c r="H57" s="14" t="s">
        <v>357</v>
      </c>
      <c r="I57" s="33" t="s">
        <v>30</v>
      </c>
      <c r="J57" s="17" t="s">
        <v>192</v>
      </c>
      <c r="K57" s="17" t="s">
        <v>193</v>
      </c>
      <c r="L57" s="17" t="s">
        <v>358</v>
      </c>
      <c r="M57" s="18" t="s">
        <v>203</v>
      </c>
      <c r="N57" s="18" t="s">
        <v>203</v>
      </c>
      <c r="O57" s="18">
        <v>1375</v>
      </c>
      <c r="P57" s="18">
        <v>202</v>
      </c>
      <c r="Q57" s="19">
        <v>2184</v>
      </c>
      <c r="R57" s="20">
        <v>2274.5</v>
      </c>
      <c r="S57" s="21">
        <v>26</v>
      </c>
      <c r="T57" s="21">
        <v>34.799999999999997</v>
      </c>
      <c r="U57" s="22" t="s">
        <v>93</v>
      </c>
      <c r="V57" s="23">
        <v>450</v>
      </c>
      <c r="W57" s="24"/>
      <c r="X57" s="25">
        <v>720</v>
      </c>
      <c r="Y57" s="25">
        <v>970</v>
      </c>
      <c r="Z57" s="25">
        <v>980</v>
      </c>
      <c r="AA57" s="35">
        <v>700</v>
      </c>
      <c r="AB57" s="25">
        <v>700</v>
      </c>
      <c r="AC57" s="26"/>
      <c r="AD57" s="26"/>
      <c r="AE57" s="22">
        <v>2125</v>
      </c>
      <c r="AF57" s="17" t="s">
        <v>335</v>
      </c>
      <c r="AG57" s="17" t="s">
        <v>359</v>
      </c>
      <c r="AH57" s="17" t="s">
        <v>931</v>
      </c>
      <c r="AI57" s="17">
        <v>66</v>
      </c>
      <c r="AJ57" s="19">
        <v>2250</v>
      </c>
      <c r="AK57" s="19">
        <v>69.5</v>
      </c>
      <c r="AL57" s="27">
        <v>70.234999999999999</v>
      </c>
      <c r="AM57" s="14" t="s">
        <v>360</v>
      </c>
      <c r="AN57" s="17" t="s">
        <v>93</v>
      </c>
      <c r="AO57" s="5" t="s">
        <v>361</v>
      </c>
      <c r="AP57" s="28" t="s">
        <v>362</v>
      </c>
      <c r="AQ57" s="29" t="str">
        <f t="shared" si="1"/>
        <v>20R(20Đỏ)</v>
      </c>
      <c r="AR57" s="29" t="str">
        <f t="shared" si="2"/>
        <v>20R</v>
      </c>
    </row>
    <row r="58" spans="1:44" ht="42" customHeight="1">
      <c r="A58" s="1">
        <v>376</v>
      </c>
      <c r="B58" s="12" t="s">
        <v>363</v>
      </c>
      <c r="C58" s="13" t="s">
        <v>849</v>
      </c>
      <c r="D58" s="14" t="s">
        <v>364</v>
      </c>
      <c r="E58" s="15">
        <v>60</v>
      </c>
      <c r="F58" s="15" t="s">
        <v>150</v>
      </c>
      <c r="G58" s="32" t="s">
        <v>93</v>
      </c>
      <c r="H58" s="14" t="s">
        <v>365</v>
      </c>
      <c r="I58" s="33" t="s">
        <v>30</v>
      </c>
      <c r="J58" s="17" t="s">
        <v>192</v>
      </c>
      <c r="K58" s="17" t="s">
        <v>193</v>
      </c>
      <c r="L58" s="17" t="s">
        <v>366</v>
      </c>
      <c r="M58" s="18" t="s">
        <v>203</v>
      </c>
      <c r="N58" s="18" t="s">
        <v>203</v>
      </c>
      <c r="O58" s="18">
        <v>1360</v>
      </c>
      <c r="P58" s="18">
        <v>261</v>
      </c>
      <c r="Q58" s="19">
        <v>2750</v>
      </c>
      <c r="R58" s="20">
        <v>2870.4</v>
      </c>
      <c r="S58" s="21">
        <v>55</v>
      </c>
      <c r="T58" s="21">
        <v>31</v>
      </c>
      <c r="U58" s="22" t="s">
        <v>93</v>
      </c>
      <c r="V58" s="23">
        <v>568</v>
      </c>
      <c r="W58" s="24"/>
      <c r="X58" s="25">
        <v>840</v>
      </c>
      <c r="Y58" s="25">
        <v>999</v>
      </c>
      <c r="Z58" s="25">
        <v>990</v>
      </c>
      <c r="AA58" s="35">
        <v>680</v>
      </c>
      <c r="AB58" s="25">
        <v>700</v>
      </c>
      <c r="AC58" s="26"/>
      <c r="AD58" s="26"/>
      <c r="AE58" s="22">
        <v>2820</v>
      </c>
      <c r="AF58" s="17" t="s">
        <v>335</v>
      </c>
      <c r="AG58" s="17" t="s">
        <v>367</v>
      </c>
      <c r="AH58" s="17" t="s">
        <v>931</v>
      </c>
      <c r="AI58" s="17" t="s">
        <v>368</v>
      </c>
      <c r="AJ58" s="19">
        <v>2840</v>
      </c>
      <c r="AK58" s="19">
        <v>85.2</v>
      </c>
      <c r="AL58" s="27">
        <v>85.111999999999995</v>
      </c>
      <c r="AM58" s="14" t="s">
        <v>204</v>
      </c>
      <c r="AN58" s="17" t="s">
        <v>93</v>
      </c>
      <c r="AO58" s="5" t="s">
        <v>369</v>
      </c>
      <c r="AP58" s="28" t="s">
        <v>370</v>
      </c>
      <c r="AQ58" s="29" t="str">
        <f t="shared" si="1"/>
        <v>20V(20Tím)</v>
      </c>
      <c r="AR58" s="29" t="str">
        <f t="shared" si="2"/>
        <v>20V</v>
      </c>
    </row>
    <row r="59" spans="1:44" ht="42" customHeight="1">
      <c r="A59" s="1">
        <v>377</v>
      </c>
      <c r="B59" s="35" t="s">
        <v>371</v>
      </c>
      <c r="C59" s="13" t="s">
        <v>850</v>
      </c>
      <c r="D59" s="14" t="s">
        <v>372</v>
      </c>
      <c r="E59" s="15">
        <v>33</v>
      </c>
      <c r="F59" s="15" t="s">
        <v>150</v>
      </c>
      <c r="G59" s="32" t="s">
        <v>93</v>
      </c>
      <c r="H59" s="14" t="s">
        <v>373</v>
      </c>
      <c r="I59" s="16" t="s">
        <v>93</v>
      </c>
      <c r="J59" s="17" t="s">
        <v>89</v>
      </c>
      <c r="K59" s="17" t="s">
        <v>90</v>
      </c>
      <c r="L59" s="17" t="s">
        <v>374</v>
      </c>
      <c r="M59" s="18" t="s">
        <v>790</v>
      </c>
      <c r="N59" s="18" t="s">
        <v>790</v>
      </c>
      <c r="O59" s="18">
        <v>1425</v>
      </c>
      <c r="P59" s="18">
        <v>148</v>
      </c>
      <c r="Q59" s="19">
        <v>855</v>
      </c>
      <c r="R59" s="20"/>
      <c r="S59" s="21">
        <v>19</v>
      </c>
      <c r="T59" s="21">
        <v>30</v>
      </c>
      <c r="U59" s="22" t="s">
        <v>93</v>
      </c>
      <c r="V59" s="22">
        <v>650</v>
      </c>
      <c r="W59" s="24"/>
      <c r="X59" s="35">
        <v>680</v>
      </c>
      <c r="Y59" s="35">
        <v>970</v>
      </c>
      <c r="Z59" s="35">
        <v>980</v>
      </c>
      <c r="AA59" s="35">
        <v>700</v>
      </c>
      <c r="AB59" s="35">
        <v>700</v>
      </c>
      <c r="AC59" s="36"/>
      <c r="AD59" s="36"/>
      <c r="AE59" s="22">
        <v>875</v>
      </c>
      <c r="AF59" s="17" t="s">
        <v>93</v>
      </c>
      <c r="AG59" s="17" t="s">
        <v>93</v>
      </c>
      <c r="AH59" s="17" t="s">
        <v>93</v>
      </c>
      <c r="AI59" s="17"/>
      <c r="AJ59" s="19">
        <v>855</v>
      </c>
      <c r="AK59" s="19">
        <v>24.65</v>
      </c>
      <c r="AL59" s="27">
        <v>0</v>
      </c>
      <c r="AM59" s="14" t="s">
        <v>375</v>
      </c>
      <c r="AN59" s="17" t="s">
        <v>93</v>
      </c>
      <c r="AO59" s="5" t="s">
        <v>376</v>
      </c>
      <c r="AP59" s="28" t="s">
        <v>93</v>
      </c>
      <c r="AQ59" s="29" t="str">
        <f t="shared" si="1"/>
        <v>10R(10Đỏ)</v>
      </c>
      <c r="AR59" s="29" t="str">
        <f t="shared" si="2"/>
        <v>10R</v>
      </c>
    </row>
    <row r="60" spans="1:44" ht="42" customHeight="1">
      <c r="A60" s="1">
        <v>378</v>
      </c>
      <c r="B60" s="35" t="s">
        <v>377</v>
      </c>
      <c r="C60" s="13" t="s">
        <v>851</v>
      </c>
      <c r="D60" s="14" t="s">
        <v>378</v>
      </c>
      <c r="E60" s="15">
        <v>43</v>
      </c>
      <c r="F60" s="15" t="s">
        <v>150</v>
      </c>
      <c r="G60" s="32" t="s">
        <v>93</v>
      </c>
      <c r="H60" s="14" t="s">
        <v>373</v>
      </c>
      <c r="I60" s="16" t="s">
        <v>93</v>
      </c>
      <c r="J60" s="17" t="s">
        <v>89</v>
      </c>
      <c r="K60" s="17" t="s">
        <v>90</v>
      </c>
      <c r="L60" s="17" t="s">
        <v>379</v>
      </c>
      <c r="M60" s="18" t="s">
        <v>790</v>
      </c>
      <c r="N60" s="18" t="s">
        <v>790</v>
      </c>
      <c r="O60" s="18">
        <v>1430</v>
      </c>
      <c r="P60" s="18">
        <v>152</v>
      </c>
      <c r="Q60" s="19">
        <v>1190</v>
      </c>
      <c r="R60" s="20"/>
      <c r="S60" s="21">
        <v>18.899999999999999</v>
      </c>
      <c r="T60" s="21">
        <v>32</v>
      </c>
      <c r="U60" s="22" t="s">
        <v>93</v>
      </c>
      <c r="V60" s="22">
        <v>830</v>
      </c>
      <c r="W60" s="24"/>
      <c r="X60" s="35">
        <v>840</v>
      </c>
      <c r="Y60" s="35">
        <v>950</v>
      </c>
      <c r="Z60" s="35">
        <v>980</v>
      </c>
      <c r="AA60" s="35">
        <v>670</v>
      </c>
      <c r="AB60" s="35">
        <v>700</v>
      </c>
      <c r="AC60" s="36"/>
      <c r="AD60" s="36"/>
      <c r="AE60" s="22">
        <v>1200</v>
      </c>
      <c r="AF60" s="17" t="s">
        <v>93</v>
      </c>
      <c r="AG60" s="17" t="s">
        <v>93</v>
      </c>
      <c r="AH60" s="17" t="s">
        <v>93</v>
      </c>
      <c r="AI60" s="17"/>
      <c r="AJ60" s="19">
        <v>1190</v>
      </c>
      <c r="AK60" s="19">
        <v>34.699999999999996</v>
      </c>
      <c r="AL60" s="27">
        <v>0</v>
      </c>
      <c r="AM60" s="14" t="s">
        <v>380</v>
      </c>
      <c r="AN60" s="17" t="s">
        <v>93</v>
      </c>
      <c r="AO60" s="5" t="s">
        <v>381</v>
      </c>
      <c r="AP60" s="28" t="s">
        <v>93</v>
      </c>
      <c r="AQ60" s="29" t="str">
        <f t="shared" si="1"/>
        <v>18R5V(18Đỏ5Tím)</v>
      </c>
      <c r="AR60" s="29" t="str">
        <f t="shared" si="2"/>
        <v>18R5V</v>
      </c>
    </row>
    <row r="61" spans="1:44" ht="42" customHeight="1">
      <c r="A61" s="1">
        <v>379</v>
      </c>
      <c r="B61" s="35" t="s">
        <v>382</v>
      </c>
      <c r="C61" s="13" t="s">
        <v>852</v>
      </c>
      <c r="D61" s="14" t="s">
        <v>378</v>
      </c>
      <c r="E61" s="15">
        <v>38</v>
      </c>
      <c r="F61" s="15" t="s">
        <v>150</v>
      </c>
      <c r="G61" s="32" t="s">
        <v>93</v>
      </c>
      <c r="H61" s="14" t="s">
        <v>383</v>
      </c>
      <c r="I61" s="16" t="s">
        <v>93</v>
      </c>
      <c r="J61" s="17" t="s">
        <v>89</v>
      </c>
      <c r="K61" s="17" t="s">
        <v>90</v>
      </c>
      <c r="L61" s="17" t="s">
        <v>384</v>
      </c>
      <c r="M61" s="18" t="s">
        <v>790</v>
      </c>
      <c r="N61" s="18" t="s">
        <v>790</v>
      </c>
      <c r="O61" s="18">
        <v>1435</v>
      </c>
      <c r="P61" s="18">
        <v>162</v>
      </c>
      <c r="Q61" s="19">
        <v>1455</v>
      </c>
      <c r="R61" s="20"/>
      <c r="S61" s="21">
        <v>20.5</v>
      </c>
      <c r="T61" s="21">
        <v>25.7</v>
      </c>
      <c r="U61" s="22" t="s">
        <v>93</v>
      </c>
      <c r="V61" s="23">
        <v>880</v>
      </c>
      <c r="W61" s="24"/>
      <c r="X61" s="25">
        <v>700</v>
      </c>
      <c r="Y61" s="25">
        <v>960</v>
      </c>
      <c r="Z61" s="25">
        <v>980</v>
      </c>
      <c r="AA61" s="25">
        <v>700</v>
      </c>
      <c r="AB61" s="25">
        <v>700</v>
      </c>
      <c r="AC61" s="26"/>
      <c r="AD61" s="26"/>
      <c r="AE61" s="22">
        <v>1360</v>
      </c>
      <c r="AF61" s="17" t="s">
        <v>93</v>
      </c>
      <c r="AG61" s="17" t="s">
        <v>93</v>
      </c>
      <c r="AH61" s="17" t="s">
        <v>93</v>
      </c>
      <c r="AI61" s="17"/>
      <c r="AJ61" s="19">
        <v>1455</v>
      </c>
      <c r="AK61" s="19">
        <v>44.65</v>
      </c>
      <c r="AL61" s="27">
        <v>0</v>
      </c>
      <c r="AM61" s="14" t="s">
        <v>385</v>
      </c>
      <c r="AN61" s="17" t="s">
        <v>93</v>
      </c>
      <c r="AO61" s="5" t="s">
        <v>386</v>
      </c>
      <c r="AP61" s="28" t="s">
        <v>387</v>
      </c>
      <c r="AQ61" s="29" t="str">
        <f t="shared" si="1"/>
        <v>10B15Y(10XDT15Vàng)</v>
      </c>
      <c r="AR61" s="29" t="str">
        <f t="shared" si="2"/>
        <v>10B15Y</v>
      </c>
    </row>
    <row r="62" spans="1:44" ht="42" customHeight="1">
      <c r="A62" s="1">
        <v>380</v>
      </c>
      <c r="B62" s="35" t="s">
        <v>388</v>
      </c>
      <c r="C62" s="13" t="s">
        <v>853</v>
      </c>
      <c r="D62" s="14" t="s">
        <v>378</v>
      </c>
      <c r="E62" s="15">
        <v>38</v>
      </c>
      <c r="F62" s="15" t="s">
        <v>150</v>
      </c>
      <c r="G62" s="32" t="s">
        <v>93</v>
      </c>
      <c r="H62" s="14" t="s">
        <v>389</v>
      </c>
      <c r="I62" s="16" t="s">
        <v>93</v>
      </c>
      <c r="J62" s="17" t="s">
        <v>89</v>
      </c>
      <c r="K62" s="17" t="s">
        <v>90</v>
      </c>
      <c r="L62" s="17" t="s">
        <v>384</v>
      </c>
      <c r="M62" s="18" t="s">
        <v>790</v>
      </c>
      <c r="N62" s="18" t="s">
        <v>790</v>
      </c>
      <c r="O62" s="18">
        <v>1435</v>
      </c>
      <c r="P62" s="18">
        <v>168</v>
      </c>
      <c r="Q62" s="19">
        <v>1455</v>
      </c>
      <c r="R62" s="20"/>
      <c r="S62" s="21">
        <v>27.6</v>
      </c>
      <c r="T62" s="21">
        <v>40</v>
      </c>
      <c r="U62" s="22" t="s">
        <v>93</v>
      </c>
      <c r="V62" s="23">
        <v>880</v>
      </c>
      <c r="W62" s="24"/>
      <c r="X62" s="25">
        <v>700</v>
      </c>
      <c r="Y62" s="25">
        <v>960</v>
      </c>
      <c r="Z62" s="25">
        <v>980</v>
      </c>
      <c r="AA62" s="25">
        <v>700</v>
      </c>
      <c r="AB62" s="25">
        <v>700</v>
      </c>
      <c r="AC62" s="26"/>
      <c r="AD62" s="26"/>
      <c r="AE62" s="22">
        <v>1355</v>
      </c>
      <c r="AF62" s="17" t="s">
        <v>93</v>
      </c>
      <c r="AG62" s="17" t="s">
        <v>93</v>
      </c>
      <c r="AH62" s="17" t="s">
        <v>93</v>
      </c>
      <c r="AI62" s="17"/>
      <c r="AJ62" s="19">
        <v>1455</v>
      </c>
      <c r="AK62" s="19">
        <v>44.65</v>
      </c>
      <c r="AL62" s="27">
        <v>0</v>
      </c>
      <c r="AM62" s="14" t="s">
        <v>390</v>
      </c>
      <c r="AN62" s="17" t="s">
        <v>93</v>
      </c>
      <c r="AO62" s="5" t="s">
        <v>391</v>
      </c>
      <c r="AP62" s="28" t="s">
        <v>392</v>
      </c>
      <c r="AQ62" s="29" t="str">
        <f t="shared" si="1"/>
        <v>10V15R(10Tím15Đỏ)</v>
      </c>
      <c r="AR62" s="29" t="str">
        <f t="shared" si="2"/>
        <v>10V15R</v>
      </c>
    </row>
    <row r="63" spans="1:44" ht="42" customHeight="1">
      <c r="A63" s="1">
        <v>381</v>
      </c>
      <c r="B63" s="35" t="s">
        <v>393</v>
      </c>
      <c r="C63" s="13" t="s">
        <v>854</v>
      </c>
      <c r="D63" s="14" t="s">
        <v>378</v>
      </c>
      <c r="E63" s="15">
        <v>38</v>
      </c>
      <c r="F63" s="15" t="s">
        <v>150</v>
      </c>
      <c r="G63" s="32" t="s">
        <v>93</v>
      </c>
      <c r="H63" s="14" t="s">
        <v>141</v>
      </c>
      <c r="I63" s="16" t="s">
        <v>93</v>
      </c>
      <c r="J63" s="17" t="s">
        <v>89</v>
      </c>
      <c r="K63" s="17" t="s">
        <v>90</v>
      </c>
      <c r="L63" s="17" t="s">
        <v>394</v>
      </c>
      <c r="M63" s="18" t="s">
        <v>790</v>
      </c>
      <c r="N63" s="18" t="s">
        <v>790</v>
      </c>
      <c r="O63" s="18">
        <v>1435</v>
      </c>
      <c r="P63" s="18">
        <v>168</v>
      </c>
      <c r="Q63" s="19">
        <v>1320</v>
      </c>
      <c r="R63" s="20"/>
      <c r="S63" s="21">
        <v>25</v>
      </c>
      <c r="T63" s="21">
        <v>32</v>
      </c>
      <c r="U63" s="22" t="s">
        <v>93</v>
      </c>
      <c r="V63" s="23">
        <v>931</v>
      </c>
      <c r="W63" s="24"/>
      <c r="X63" s="25">
        <v>800</v>
      </c>
      <c r="Y63" s="25">
        <v>910</v>
      </c>
      <c r="Z63" s="25">
        <v>980</v>
      </c>
      <c r="AA63" s="25">
        <v>675</v>
      </c>
      <c r="AB63" s="25">
        <v>700</v>
      </c>
      <c r="AC63" s="26"/>
      <c r="AD63" s="26"/>
      <c r="AE63" s="22">
        <v>1330</v>
      </c>
      <c r="AF63" s="17" t="s">
        <v>93</v>
      </c>
      <c r="AG63" s="17" t="s">
        <v>93</v>
      </c>
      <c r="AH63" s="17" t="s">
        <v>93</v>
      </c>
      <c r="AI63" s="17"/>
      <c r="AJ63" s="19">
        <v>1320</v>
      </c>
      <c r="AK63" s="19">
        <v>39.6</v>
      </c>
      <c r="AL63" s="27">
        <v>0</v>
      </c>
      <c r="AM63" s="14" t="s">
        <v>395</v>
      </c>
      <c r="AN63" s="17" t="s">
        <v>93</v>
      </c>
      <c r="AO63" s="5" t="s">
        <v>396</v>
      </c>
      <c r="AP63" s="28" t="s">
        <v>397</v>
      </c>
      <c r="AQ63" s="29" t="str">
        <f t="shared" si="1"/>
        <v>25G(25Xanhlácây)</v>
      </c>
      <c r="AR63" s="29" t="str">
        <f t="shared" si="2"/>
        <v>25G</v>
      </c>
    </row>
    <row r="64" spans="1:44" ht="42" customHeight="1">
      <c r="A64" s="1">
        <v>382</v>
      </c>
      <c r="B64" s="42"/>
      <c r="C64" s="43"/>
      <c r="D64" s="14" t="s">
        <v>378</v>
      </c>
      <c r="E64" s="15">
        <v>38</v>
      </c>
      <c r="F64" s="15" t="s">
        <v>150</v>
      </c>
      <c r="G64" s="32" t="s">
        <v>93</v>
      </c>
      <c r="H64" s="14" t="s">
        <v>141</v>
      </c>
      <c r="I64" s="16" t="s">
        <v>93</v>
      </c>
      <c r="J64" s="17" t="s">
        <v>89</v>
      </c>
      <c r="K64" s="17" t="s">
        <v>90</v>
      </c>
      <c r="L64" s="17" t="s">
        <v>394</v>
      </c>
      <c r="M64" s="18" t="s">
        <v>790</v>
      </c>
      <c r="N64" s="18" t="s">
        <v>790</v>
      </c>
      <c r="O64" s="18">
        <v>1435</v>
      </c>
      <c r="P64" s="18">
        <v>168</v>
      </c>
      <c r="Q64" s="19">
        <v>1320</v>
      </c>
      <c r="R64" s="20"/>
      <c r="S64" s="21">
        <v>19</v>
      </c>
      <c r="T64" s="21">
        <v>25.5</v>
      </c>
      <c r="U64" s="22" t="s">
        <v>93</v>
      </c>
      <c r="V64" s="23">
        <v>900</v>
      </c>
      <c r="W64" s="24"/>
      <c r="X64" s="25">
        <v>750</v>
      </c>
      <c r="Y64" s="25">
        <v>960</v>
      </c>
      <c r="Z64" s="25">
        <v>980</v>
      </c>
      <c r="AA64" s="25">
        <v>700</v>
      </c>
      <c r="AB64" s="25">
        <v>700</v>
      </c>
      <c r="AC64" s="26"/>
      <c r="AD64" s="26"/>
      <c r="AE64" s="22">
        <v>1260</v>
      </c>
      <c r="AF64" s="17" t="s">
        <v>93</v>
      </c>
      <c r="AG64" s="17" t="s">
        <v>93</v>
      </c>
      <c r="AH64" s="17" t="s">
        <v>93</v>
      </c>
      <c r="AI64" s="17"/>
      <c r="AJ64" s="19">
        <v>1320</v>
      </c>
      <c r="AK64" s="19">
        <v>39.6</v>
      </c>
      <c r="AL64" s="27">
        <v>0</v>
      </c>
      <c r="AM64" s="14" t="s">
        <v>398</v>
      </c>
      <c r="AN64" s="17" t="s">
        <v>93</v>
      </c>
      <c r="AO64" s="5" t="s">
        <v>399</v>
      </c>
      <c r="AP64" s="28" t="s">
        <v>93</v>
      </c>
      <c r="AQ64" s="29" t="str">
        <f t="shared" si="1"/>
        <v>10G15Y(10Xanhlácây15Vàng)</v>
      </c>
      <c r="AR64" s="29" t="str">
        <f t="shared" si="2"/>
        <v>10G15Y</v>
      </c>
    </row>
    <row r="65" spans="1:45" ht="42" customHeight="1">
      <c r="A65" s="1">
        <v>383</v>
      </c>
      <c r="B65" s="35" t="s">
        <v>400</v>
      </c>
      <c r="C65" s="13" t="s">
        <v>855</v>
      </c>
      <c r="D65" s="14" t="s">
        <v>378</v>
      </c>
      <c r="E65" s="15">
        <v>38</v>
      </c>
      <c r="F65" s="15" t="s">
        <v>150</v>
      </c>
      <c r="G65" s="32" t="s">
        <v>93</v>
      </c>
      <c r="H65" s="14" t="s">
        <v>401</v>
      </c>
      <c r="I65" s="16" t="s">
        <v>93</v>
      </c>
      <c r="J65" s="17" t="s">
        <v>89</v>
      </c>
      <c r="K65" s="17" t="s">
        <v>90</v>
      </c>
      <c r="L65" s="17" t="s">
        <v>394</v>
      </c>
      <c r="M65" s="18" t="s">
        <v>790</v>
      </c>
      <c r="N65" s="18" t="s">
        <v>790</v>
      </c>
      <c r="O65" s="18">
        <v>1435</v>
      </c>
      <c r="P65" s="18">
        <v>168</v>
      </c>
      <c r="Q65" s="19">
        <v>1320</v>
      </c>
      <c r="R65" s="20"/>
      <c r="S65" s="21">
        <v>19</v>
      </c>
      <c r="T65" s="21">
        <v>25.5</v>
      </c>
      <c r="U65" s="22" t="s">
        <v>93</v>
      </c>
      <c r="V65" s="23">
        <v>900</v>
      </c>
      <c r="W65" s="24"/>
      <c r="X65" s="25">
        <v>750</v>
      </c>
      <c r="Y65" s="25">
        <v>960</v>
      </c>
      <c r="Z65" s="25">
        <v>980</v>
      </c>
      <c r="AA65" s="25">
        <v>700</v>
      </c>
      <c r="AB65" s="25">
        <v>700</v>
      </c>
      <c r="AC65" s="26"/>
      <c r="AD65" s="26"/>
      <c r="AE65" s="22">
        <v>1260</v>
      </c>
      <c r="AF65" s="17" t="s">
        <v>93</v>
      </c>
      <c r="AG65" s="17" t="s">
        <v>93</v>
      </c>
      <c r="AH65" s="17" t="s">
        <v>93</v>
      </c>
      <c r="AI65" s="17"/>
      <c r="AJ65" s="19">
        <v>1320</v>
      </c>
      <c r="AK65" s="19">
        <v>39.6</v>
      </c>
      <c r="AL65" s="27">
        <v>0</v>
      </c>
      <c r="AM65" s="14" t="s">
        <v>402</v>
      </c>
      <c r="AN65" s="17" t="s">
        <v>93</v>
      </c>
      <c r="AO65" s="5" t="s">
        <v>403</v>
      </c>
      <c r="AP65" s="28" t="s">
        <v>397</v>
      </c>
      <c r="AQ65" s="29" t="str">
        <f t="shared" si="1"/>
        <v>10R10B(10Đỏ10XDT)</v>
      </c>
      <c r="AR65" s="29" t="str">
        <f t="shared" si="2"/>
        <v>10R10B</v>
      </c>
    </row>
    <row r="66" spans="1:45" ht="42" customHeight="1">
      <c r="A66" s="1">
        <v>384</v>
      </c>
      <c r="B66" s="42"/>
      <c r="C66" s="43"/>
      <c r="D66" s="14" t="s">
        <v>378</v>
      </c>
      <c r="E66" s="15">
        <v>38</v>
      </c>
      <c r="F66" s="15" t="s">
        <v>150</v>
      </c>
      <c r="G66" s="32" t="s">
        <v>93</v>
      </c>
      <c r="H66" s="14" t="s">
        <v>401</v>
      </c>
      <c r="I66" s="16" t="s">
        <v>93</v>
      </c>
      <c r="J66" s="17" t="s">
        <v>89</v>
      </c>
      <c r="K66" s="17" t="s">
        <v>90</v>
      </c>
      <c r="L66" s="17" t="s">
        <v>394</v>
      </c>
      <c r="M66" s="18" t="s">
        <v>790</v>
      </c>
      <c r="N66" s="18" t="s">
        <v>790</v>
      </c>
      <c r="O66" s="18">
        <v>1435</v>
      </c>
      <c r="P66" s="18">
        <v>168</v>
      </c>
      <c r="Q66" s="19">
        <v>1320</v>
      </c>
      <c r="R66" s="20"/>
      <c r="S66" s="21">
        <v>19</v>
      </c>
      <c r="T66" s="21">
        <v>25.5</v>
      </c>
      <c r="U66" s="22" t="s">
        <v>93</v>
      </c>
      <c r="V66" s="23">
        <v>900</v>
      </c>
      <c r="W66" s="24"/>
      <c r="X66" s="25">
        <v>750</v>
      </c>
      <c r="Y66" s="25">
        <v>960</v>
      </c>
      <c r="Z66" s="25">
        <v>980</v>
      </c>
      <c r="AA66" s="25">
        <v>700</v>
      </c>
      <c r="AB66" s="25">
        <v>700</v>
      </c>
      <c r="AC66" s="26"/>
      <c r="AD66" s="26"/>
      <c r="AE66" s="22">
        <v>1260</v>
      </c>
      <c r="AF66" s="17" t="s">
        <v>93</v>
      </c>
      <c r="AG66" s="17" t="s">
        <v>93</v>
      </c>
      <c r="AH66" s="17" t="s">
        <v>93</v>
      </c>
      <c r="AI66" s="17"/>
      <c r="AJ66" s="19">
        <v>1320</v>
      </c>
      <c r="AK66" s="19">
        <v>39.6</v>
      </c>
      <c r="AL66" s="27">
        <v>0</v>
      </c>
      <c r="AM66" s="14" t="s">
        <v>404</v>
      </c>
      <c r="AN66" s="17" t="s">
        <v>93</v>
      </c>
      <c r="AO66" s="5" t="s">
        <v>405</v>
      </c>
      <c r="AP66" s="28" t="s">
        <v>93</v>
      </c>
      <c r="AQ66" s="29" t="str">
        <f t="shared" si="1"/>
        <v>10W15Y(10Trắng15Vàng)</v>
      </c>
      <c r="AR66" s="29" t="str">
        <f t="shared" si="2"/>
        <v>10W15Y</v>
      </c>
    </row>
    <row r="67" spans="1:45" ht="42" customHeight="1">
      <c r="A67" s="1">
        <v>385</v>
      </c>
      <c r="B67" s="12" t="s">
        <v>406</v>
      </c>
      <c r="C67" s="13" t="s">
        <v>856</v>
      </c>
      <c r="D67" s="14" t="s">
        <v>378</v>
      </c>
      <c r="E67" s="15">
        <v>38</v>
      </c>
      <c r="F67" s="15" t="s">
        <v>150</v>
      </c>
      <c r="G67" s="32" t="s">
        <v>93</v>
      </c>
      <c r="H67" s="14" t="s">
        <v>407</v>
      </c>
      <c r="I67" s="33" t="s">
        <v>30</v>
      </c>
      <c r="J67" s="17" t="s">
        <v>89</v>
      </c>
      <c r="K67" s="17" t="s">
        <v>90</v>
      </c>
      <c r="L67" s="17" t="s">
        <v>408</v>
      </c>
      <c r="M67" s="18" t="s">
        <v>409</v>
      </c>
      <c r="N67" s="18" t="s">
        <v>409</v>
      </c>
      <c r="O67" s="18">
        <v>1440</v>
      </c>
      <c r="P67" s="18">
        <v>157</v>
      </c>
      <c r="Q67" s="19">
        <v>1300</v>
      </c>
      <c r="R67" s="20"/>
      <c r="S67" s="21">
        <v>16</v>
      </c>
      <c r="T67" s="21">
        <v>21</v>
      </c>
      <c r="U67" s="22" t="s">
        <v>93</v>
      </c>
      <c r="V67" s="23">
        <v>810</v>
      </c>
      <c r="W67" s="24"/>
      <c r="X67" s="25">
        <v>780</v>
      </c>
      <c r="Y67" s="25">
        <v>980</v>
      </c>
      <c r="Z67" s="25">
        <v>980</v>
      </c>
      <c r="AA67" s="25">
        <v>700</v>
      </c>
      <c r="AB67" s="25">
        <v>700</v>
      </c>
      <c r="AC67" s="26"/>
      <c r="AD67" s="26"/>
      <c r="AE67" s="22">
        <v>1210</v>
      </c>
      <c r="AF67" s="17" t="s">
        <v>93</v>
      </c>
      <c r="AG67" s="17" t="s">
        <v>93</v>
      </c>
      <c r="AH67" s="17" t="s">
        <v>93</v>
      </c>
      <c r="AI67" s="17"/>
      <c r="AJ67" s="19">
        <v>1300</v>
      </c>
      <c r="AK67" s="19">
        <v>40</v>
      </c>
      <c r="AL67" s="27">
        <v>0</v>
      </c>
      <c r="AM67" s="14" t="s">
        <v>152</v>
      </c>
      <c r="AN67" s="17" t="s">
        <v>93</v>
      </c>
      <c r="AO67" s="5" t="s">
        <v>410</v>
      </c>
      <c r="AP67" s="28" t="s">
        <v>411</v>
      </c>
      <c r="AQ67" s="29" t="str">
        <f t="shared" si="1"/>
        <v>15W(15Trắng)</v>
      </c>
      <c r="AR67" s="29" t="str">
        <f t="shared" si="2"/>
        <v>15W</v>
      </c>
    </row>
    <row r="68" spans="1:45" ht="42" customHeight="1">
      <c r="A68" s="1">
        <v>386</v>
      </c>
      <c r="B68" s="35" t="s">
        <v>412</v>
      </c>
      <c r="C68" s="13" t="s">
        <v>857</v>
      </c>
      <c r="D68" s="14" t="s">
        <v>378</v>
      </c>
      <c r="E68" s="15">
        <v>38</v>
      </c>
      <c r="F68" s="15" t="s">
        <v>150</v>
      </c>
      <c r="G68" s="32" t="s">
        <v>93</v>
      </c>
      <c r="H68" s="14" t="s">
        <v>413</v>
      </c>
      <c r="I68" s="16" t="s">
        <v>93</v>
      </c>
      <c r="J68" s="17" t="s">
        <v>89</v>
      </c>
      <c r="K68" s="17" t="s">
        <v>90</v>
      </c>
      <c r="L68" s="17" t="s">
        <v>414</v>
      </c>
      <c r="M68" s="18" t="s">
        <v>790</v>
      </c>
      <c r="N68" s="18" t="s">
        <v>790</v>
      </c>
      <c r="O68" s="18">
        <v>1435</v>
      </c>
      <c r="P68" s="18">
        <v>154</v>
      </c>
      <c r="Q68" s="19">
        <v>1020</v>
      </c>
      <c r="R68" s="20"/>
      <c r="S68" s="21">
        <v>19.8</v>
      </c>
      <c r="T68" s="21">
        <v>30</v>
      </c>
      <c r="U68" s="22" t="s">
        <v>93</v>
      </c>
      <c r="V68" s="23">
        <v>990</v>
      </c>
      <c r="W68" s="24"/>
      <c r="X68" s="25">
        <v>840</v>
      </c>
      <c r="Y68" s="25">
        <v>950</v>
      </c>
      <c r="Z68" s="25">
        <v>980</v>
      </c>
      <c r="AA68" s="25">
        <v>680</v>
      </c>
      <c r="AB68" s="25">
        <v>700</v>
      </c>
      <c r="AC68" s="26"/>
      <c r="AD68" s="26"/>
      <c r="AE68" s="22">
        <v>1035</v>
      </c>
      <c r="AF68" s="17" t="s">
        <v>93</v>
      </c>
      <c r="AG68" s="17" t="s">
        <v>93</v>
      </c>
      <c r="AH68" s="17" t="s">
        <v>93</v>
      </c>
      <c r="AI68" s="17"/>
      <c r="AJ68" s="19">
        <v>1020</v>
      </c>
      <c r="AK68" s="19">
        <v>29.599999999999998</v>
      </c>
      <c r="AL68" s="27">
        <v>0</v>
      </c>
      <c r="AM68" s="14" t="s">
        <v>415</v>
      </c>
      <c r="AN68" s="17" t="s">
        <v>93</v>
      </c>
      <c r="AO68" s="5" t="s">
        <v>416</v>
      </c>
      <c r="AP68" s="28" t="s">
        <v>417</v>
      </c>
      <c r="AQ68" s="29" t="str">
        <f t="shared" ref="AQ68:AQ131" si="3">SUBSTITUTE(SUBSTITUTE(SUBSTITUTE(SUBSTITUTE(AM68,"|","")," ",""),"-",""),"⁞","")</f>
        <v>22Y(22Vàng)</v>
      </c>
      <c r="AR68" s="29" t="str">
        <f t="shared" ref="AR68:AR131" si="4">TRIM(IF(LEFT(AQ68,1)="(",MID(AQ68,FIND(")",AQ68&amp;")")+1,999),LEFT(AQ68,FIND("(",AQ68&amp;"(")-1)))</f>
        <v>22Y</v>
      </c>
    </row>
    <row r="69" spans="1:45" s="22" customFormat="1" ht="42" customHeight="1">
      <c r="A69" s="1">
        <v>387</v>
      </c>
      <c r="B69" s="35" t="s">
        <v>418</v>
      </c>
      <c r="C69" s="13" t="s">
        <v>858</v>
      </c>
      <c r="D69" s="44" t="s">
        <v>378</v>
      </c>
      <c r="E69" s="22">
        <v>38</v>
      </c>
      <c r="F69" s="22" t="s">
        <v>150</v>
      </c>
      <c r="G69" s="22" t="s">
        <v>93</v>
      </c>
      <c r="H69" s="44" t="s">
        <v>245</v>
      </c>
      <c r="I69" s="22" t="s">
        <v>93</v>
      </c>
      <c r="J69" s="22" t="s">
        <v>89</v>
      </c>
      <c r="K69" s="22" t="s">
        <v>90</v>
      </c>
      <c r="L69" s="22" t="s">
        <v>414</v>
      </c>
      <c r="M69" s="18" t="s">
        <v>790</v>
      </c>
      <c r="N69" s="18" t="s">
        <v>790</v>
      </c>
      <c r="O69" s="22">
        <v>1435</v>
      </c>
      <c r="P69" s="22">
        <v>154</v>
      </c>
      <c r="Q69" s="22">
        <v>1050</v>
      </c>
      <c r="R69" s="20"/>
      <c r="S69" s="22">
        <v>15.4</v>
      </c>
      <c r="T69" s="22">
        <v>23.4</v>
      </c>
      <c r="U69" s="22" t="s">
        <v>93</v>
      </c>
      <c r="V69" s="22">
        <v>930</v>
      </c>
      <c r="W69" s="45"/>
      <c r="X69" s="22">
        <v>760</v>
      </c>
      <c r="Y69" s="22">
        <v>940</v>
      </c>
      <c r="Z69" s="22">
        <v>980</v>
      </c>
      <c r="AA69" s="25">
        <v>700</v>
      </c>
      <c r="AB69" s="22">
        <v>700</v>
      </c>
      <c r="AC69" s="45"/>
      <c r="AD69" s="45"/>
      <c r="AE69" s="22">
        <v>1030</v>
      </c>
      <c r="AF69" s="22" t="s">
        <v>93</v>
      </c>
      <c r="AG69" s="22" t="s">
        <v>93</v>
      </c>
      <c r="AH69" s="22" t="s">
        <v>93</v>
      </c>
      <c r="AJ69" s="22">
        <v>1050</v>
      </c>
      <c r="AK69" s="46">
        <v>29.5</v>
      </c>
      <c r="AL69" s="27">
        <v>0</v>
      </c>
      <c r="AM69" s="44" t="s">
        <v>419</v>
      </c>
      <c r="AN69" s="17" t="s">
        <v>93</v>
      </c>
      <c r="AO69" s="47" t="s">
        <v>420</v>
      </c>
      <c r="AP69" s="44" t="s">
        <v>179</v>
      </c>
      <c r="AQ69" s="29" t="str">
        <f t="shared" si="3"/>
        <v>10G15R10R(10Xanhlácây15Đỏ10Đỏ)</v>
      </c>
      <c r="AR69" s="29" t="str">
        <f t="shared" si="4"/>
        <v>10G15R10R</v>
      </c>
      <c r="AS69" s="48"/>
    </row>
    <row r="70" spans="1:45" ht="42" customHeight="1">
      <c r="A70" s="1">
        <v>388</v>
      </c>
      <c r="B70" s="35" t="s">
        <v>421</v>
      </c>
      <c r="C70" s="13" t="s">
        <v>859</v>
      </c>
      <c r="D70" s="14" t="s">
        <v>378</v>
      </c>
      <c r="E70" s="15">
        <v>38</v>
      </c>
      <c r="F70" s="15" t="s">
        <v>150</v>
      </c>
      <c r="G70" s="32" t="s">
        <v>93</v>
      </c>
      <c r="H70" s="14" t="s">
        <v>422</v>
      </c>
      <c r="I70" s="33" t="s">
        <v>30</v>
      </c>
      <c r="J70" s="17" t="s">
        <v>89</v>
      </c>
      <c r="K70" s="17" t="s">
        <v>90</v>
      </c>
      <c r="L70" s="17" t="s">
        <v>423</v>
      </c>
      <c r="M70" s="18" t="s">
        <v>263</v>
      </c>
      <c r="N70" s="18" t="s">
        <v>263</v>
      </c>
      <c r="O70" s="18">
        <v>1440</v>
      </c>
      <c r="P70" s="18">
        <v>162</v>
      </c>
      <c r="Q70" s="19">
        <v>1370</v>
      </c>
      <c r="R70" s="20"/>
      <c r="S70" s="21">
        <v>18.100000000000001</v>
      </c>
      <c r="T70" s="21">
        <v>26.1</v>
      </c>
      <c r="U70" s="22" t="s">
        <v>93</v>
      </c>
      <c r="V70" s="23">
        <v>720</v>
      </c>
      <c r="W70" s="24"/>
      <c r="X70" s="25">
        <v>820</v>
      </c>
      <c r="Y70" s="25">
        <v>985</v>
      </c>
      <c r="Z70" s="25">
        <v>980</v>
      </c>
      <c r="AA70" s="25">
        <v>950</v>
      </c>
      <c r="AB70" s="25">
        <v>700</v>
      </c>
      <c r="AC70" s="26"/>
      <c r="AD70" s="26"/>
      <c r="AE70" s="22">
        <v>1260</v>
      </c>
      <c r="AF70" s="17" t="s">
        <v>93</v>
      </c>
      <c r="AG70" s="17" t="s">
        <v>93</v>
      </c>
      <c r="AH70" s="17" t="s">
        <v>93</v>
      </c>
      <c r="AI70" s="17"/>
      <c r="AJ70" s="19">
        <v>1370</v>
      </c>
      <c r="AK70" s="19">
        <v>40.1</v>
      </c>
      <c r="AL70" s="27">
        <v>0</v>
      </c>
      <c r="AM70" s="14" t="s">
        <v>424</v>
      </c>
      <c r="AN70" s="17" t="s">
        <v>93</v>
      </c>
      <c r="AO70" s="5" t="s">
        <v>425</v>
      </c>
      <c r="AP70" s="37" t="s">
        <v>426</v>
      </c>
      <c r="AQ70" s="29" t="str">
        <f t="shared" si="3"/>
        <v>15B10V(15XDT10Tím)</v>
      </c>
      <c r="AR70" s="29" t="str">
        <f t="shared" si="4"/>
        <v>15B10V</v>
      </c>
    </row>
    <row r="71" spans="1:45" ht="42" customHeight="1">
      <c r="A71" s="1">
        <v>389</v>
      </c>
      <c r="B71" s="35" t="s">
        <v>427</v>
      </c>
      <c r="C71" s="13" t="s">
        <v>860</v>
      </c>
      <c r="D71" s="14" t="s">
        <v>428</v>
      </c>
      <c r="E71" s="15">
        <v>40</v>
      </c>
      <c r="F71" s="15" t="s">
        <v>150</v>
      </c>
      <c r="G71" s="32" t="s">
        <v>93</v>
      </c>
      <c r="H71" s="14" t="s">
        <v>413</v>
      </c>
      <c r="I71" s="16" t="s">
        <v>93</v>
      </c>
      <c r="J71" s="17" t="s">
        <v>89</v>
      </c>
      <c r="K71" s="17" t="s">
        <v>90</v>
      </c>
      <c r="L71" s="17" t="s">
        <v>429</v>
      </c>
      <c r="M71" s="18" t="s">
        <v>790</v>
      </c>
      <c r="N71" s="18" t="s">
        <v>790</v>
      </c>
      <c r="O71" s="18">
        <v>1440</v>
      </c>
      <c r="P71" s="18">
        <v>178</v>
      </c>
      <c r="Q71" s="19">
        <v>1160</v>
      </c>
      <c r="R71" s="20"/>
      <c r="S71" s="21">
        <v>24.2</v>
      </c>
      <c r="T71" s="21">
        <v>32</v>
      </c>
      <c r="U71" s="22" t="s">
        <v>93</v>
      </c>
      <c r="V71" s="23">
        <v>995</v>
      </c>
      <c r="W71" s="24"/>
      <c r="X71" s="25">
        <v>840</v>
      </c>
      <c r="Y71" s="25">
        <v>965</v>
      </c>
      <c r="Z71" s="25">
        <v>980</v>
      </c>
      <c r="AA71" s="25">
        <v>680</v>
      </c>
      <c r="AB71" s="25">
        <v>700</v>
      </c>
      <c r="AC71" s="26"/>
      <c r="AD71" s="26"/>
      <c r="AE71" s="22">
        <v>1190</v>
      </c>
      <c r="AF71" s="17" t="s">
        <v>93</v>
      </c>
      <c r="AG71" s="17" t="s">
        <v>93</v>
      </c>
      <c r="AH71" s="17" t="s">
        <v>93</v>
      </c>
      <c r="AI71" s="17"/>
      <c r="AJ71" s="19">
        <v>1160</v>
      </c>
      <c r="AK71" s="19">
        <v>34.799999999999997</v>
      </c>
      <c r="AL71" s="27">
        <v>0</v>
      </c>
      <c r="AM71" s="14" t="s">
        <v>430</v>
      </c>
      <c r="AN71" s="17" t="s">
        <v>93</v>
      </c>
      <c r="AO71" s="5" t="s">
        <v>431</v>
      </c>
      <c r="AP71" s="28" t="s">
        <v>426</v>
      </c>
      <c r="AQ71" s="29" t="str">
        <f t="shared" si="3"/>
        <v>10V10V(10Tím10Tím)</v>
      </c>
      <c r="AR71" s="29" t="str">
        <f t="shared" si="4"/>
        <v>10V10V</v>
      </c>
    </row>
    <row r="72" spans="1:45" ht="42" customHeight="1">
      <c r="A72" s="1">
        <v>390</v>
      </c>
      <c r="B72" s="12" t="s">
        <v>432</v>
      </c>
      <c r="C72" s="13" t="s">
        <v>861</v>
      </c>
      <c r="D72" s="14" t="s">
        <v>433</v>
      </c>
      <c r="E72" s="15">
        <v>41</v>
      </c>
      <c r="F72" s="15" t="s">
        <v>150</v>
      </c>
      <c r="G72" s="32" t="s">
        <v>93</v>
      </c>
      <c r="H72" s="14" t="s">
        <v>316</v>
      </c>
      <c r="I72" s="33" t="s">
        <v>30</v>
      </c>
      <c r="J72" s="17" t="s">
        <v>89</v>
      </c>
      <c r="K72" s="17" t="s">
        <v>90</v>
      </c>
      <c r="L72" s="17" t="s">
        <v>434</v>
      </c>
      <c r="M72" s="18" t="s">
        <v>263</v>
      </c>
      <c r="N72" s="18" t="s">
        <v>263</v>
      </c>
      <c r="O72" s="18">
        <v>1445</v>
      </c>
      <c r="P72" s="18">
        <v>168</v>
      </c>
      <c r="Q72" s="19">
        <v>1510</v>
      </c>
      <c r="R72" s="20"/>
      <c r="S72" s="21">
        <v>18</v>
      </c>
      <c r="T72" s="21">
        <v>26.5</v>
      </c>
      <c r="U72" s="22" t="s">
        <v>93</v>
      </c>
      <c r="V72" s="23">
        <v>550</v>
      </c>
      <c r="W72" s="24"/>
      <c r="X72" s="25">
        <v>780</v>
      </c>
      <c r="Y72" s="25">
        <v>960</v>
      </c>
      <c r="Z72" s="25">
        <v>980</v>
      </c>
      <c r="AA72" s="25">
        <v>700</v>
      </c>
      <c r="AB72" s="25">
        <v>700</v>
      </c>
      <c r="AC72" s="26"/>
      <c r="AD72" s="26"/>
      <c r="AE72" s="22">
        <v>1540</v>
      </c>
      <c r="AF72" s="17" t="s">
        <v>93</v>
      </c>
      <c r="AG72" s="17" t="s">
        <v>93</v>
      </c>
      <c r="AH72" s="17" t="s">
        <v>93</v>
      </c>
      <c r="AI72" s="17"/>
      <c r="AJ72" s="19">
        <v>1510</v>
      </c>
      <c r="AK72" s="19">
        <v>45.3</v>
      </c>
      <c r="AL72" s="27">
        <v>0</v>
      </c>
      <c r="AM72" s="14" t="s">
        <v>435</v>
      </c>
      <c r="AN72" s="17" t="s">
        <v>93</v>
      </c>
      <c r="AO72" s="5" t="s">
        <v>436</v>
      </c>
      <c r="AP72" s="37" t="s">
        <v>437</v>
      </c>
      <c r="AQ72" s="29" t="str">
        <f t="shared" si="3"/>
        <v>15W10B(15Trắng10XDT)</v>
      </c>
      <c r="AR72" s="29" t="str">
        <f t="shared" si="4"/>
        <v>15W10B</v>
      </c>
    </row>
    <row r="73" spans="1:45" ht="42" customHeight="1">
      <c r="A73" s="1">
        <v>391</v>
      </c>
      <c r="B73" s="49"/>
      <c r="C73" s="43"/>
      <c r="D73" s="14" t="s">
        <v>439</v>
      </c>
      <c r="E73" s="15">
        <v>46</v>
      </c>
      <c r="F73" s="15" t="s">
        <v>150</v>
      </c>
      <c r="G73" s="32" t="s">
        <v>93</v>
      </c>
      <c r="H73" s="14" t="s">
        <v>316</v>
      </c>
      <c r="I73" s="33" t="s">
        <v>30</v>
      </c>
      <c r="J73" s="17" t="s">
        <v>89</v>
      </c>
      <c r="K73" s="17" t="s">
        <v>90</v>
      </c>
      <c r="L73" s="17" t="s">
        <v>440</v>
      </c>
      <c r="M73" s="18" t="s">
        <v>263</v>
      </c>
      <c r="N73" s="18" t="s">
        <v>263</v>
      </c>
      <c r="O73" s="18">
        <v>1445</v>
      </c>
      <c r="P73" s="18">
        <v>178</v>
      </c>
      <c r="Q73" s="19">
        <v>2130</v>
      </c>
      <c r="R73" s="20"/>
      <c r="S73" s="21">
        <v>13</v>
      </c>
      <c r="T73" s="21">
        <v>18.2</v>
      </c>
      <c r="U73" s="22" t="s">
        <v>93</v>
      </c>
      <c r="V73" s="23">
        <v>770</v>
      </c>
      <c r="W73" s="24"/>
      <c r="X73" s="25">
        <v>700</v>
      </c>
      <c r="Y73" s="25">
        <v>970</v>
      </c>
      <c r="Z73" s="25">
        <v>980</v>
      </c>
      <c r="AA73" s="25">
        <v>700</v>
      </c>
      <c r="AB73" s="25">
        <v>700</v>
      </c>
      <c r="AC73" s="26"/>
      <c r="AD73" s="26"/>
      <c r="AE73" s="22">
        <v>2015</v>
      </c>
      <c r="AF73" s="17" t="s">
        <v>93</v>
      </c>
      <c r="AG73" s="17" t="s">
        <v>93</v>
      </c>
      <c r="AH73" s="17" t="s">
        <v>93</v>
      </c>
      <c r="AI73" s="17"/>
      <c r="AJ73" s="19">
        <v>2130</v>
      </c>
      <c r="AK73" s="19">
        <v>64.900000000000006</v>
      </c>
      <c r="AL73" s="27">
        <v>0</v>
      </c>
      <c r="AM73" s="14" t="s">
        <v>441</v>
      </c>
      <c r="AN73" s="17" t="s">
        <v>93</v>
      </c>
      <c r="AO73" s="5" t="s">
        <v>442</v>
      </c>
      <c r="AP73" s="37" t="s">
        <v>437</v>
      </c>
      <c r="AQ73" s="29" t="str">
        <f t="shared" si="3"/>
        <v>15G10G(15XLC10Xanhlácây)</v>
      </c>
      <c r="AR73" s="29" t="str">
        <f t="shared" si="4"/>
        <v>15G10G</v>
      </c>
    </row>
    <row r="74" spans="1:45" ht="42" customHeight="1">
      <c r="A74" s="1">
        <v>392</v>
      </c>
      <c r="B74" s="35" t="s">
        <v>443</v>
      </c>
      <c r="C74" s="13" t="s">
        <v>863</v>
      </c>
      <c r="D74" s="14" t="s">
        <v>444</v>
      </c>
      <c r="E74" s="15">
        <v>44</v>
      </c>
      <c r="F74" s="15" t="s">
        <v>150</v>
      </c>
      <c r="G74" s="32" t="s">
        <v>93</v>
      </c>
      <c r="H74" s="14" t="s">
        <v>141</v>
      </c>
      <c r="I74" s="16" t="s">
        <v>93</v>
      </c>
      <c r="J74" s="17" t="s">
        <v>89</v>
      </c>
      <c r="K74" s="17" t="s">
        <v>90</v>
      </c>
      <c r="L74" s="17" t="s">
        <v>445</v>
      </c>
      <c r="M74" s="18" t="s">
        <v>790</v>
      </c>
      <c r="N74" s="18" t="s">
        <v>790</v>
      </c>
      <c r="O74" s="18">
        <v>1435</v>
      </c>
      <c r="P74" s="18">
        <v>195</v>
      </c>
      <c r="Q74" s="19">
        <v>1585</v>
      </c>
      <c r="R74" s="20"/>
      <c r="S74" s="21">
        <v>27</v>
      </c>
      <c r="T74" s="21">
        <v>37</v>
      </c>
      <c r="U74" s="22">
        <v>15.7</v>
      </c>
      <c r="V74" s="23">
        <v>897</v>
      </c>
      <c r="W74" s="24"/>
      <c r="X74" s="25">
        <v>765</v>
      </c>
      <c r="Y74" s="25">
        <v>965</v>
      </c>
      <c r="Z74" s="25">
        <v>980</v>
      </c>
      <c r="AA74" s="25">
        <v>680</v>
      </c>
      <c r="AB74" s="25">
        <v>700</v>
      </c>
      <c r="AC74" s="26"/>
      <c r="AD74" s="26"/>
      <c r="AE74" s="22">
        <v>1650</v>
      </c>
      <c r="AF74" s="17" t="s">
        <v>93</v>
      </c>
      <c r="AG74" s="17" t="s">
        <v>93</v>
      </c>
      <c r="AH74" s="17" t="s">
        <v>93</v>
      </c>
      <c r="AI74" s="17"/>
      <c r="AJ74" s="19">
        <v>1585</v>
      </c>
      <c r="AK74" s="19">
        <v>49.55</v>
      </c>
      <c r="AL74" s="27">
        <v>0</v>
      </c>
      <c r="AM74" s="14" t="s">
        <v>446</v>
      </c>
      <c r="AN74" s="17" t="s">
        <v>93</v>
      </c>
      <c r="AO74" s="5" t="s">
        <v>447</v>
      </c>
      <c r="AP74" s="28" t="s">
        <v>448</v>
      </c>
      <c r="AQ74" s="29" t="str">
        <f t="shared" si="3"/>
        <v>10G10W(10XLC10Trắng)</v>
      </c>
      <c r="AR74" s="29" t="str">
        <f t="shared" si="4"/>
        <v>10G10W</v>
      </c>
    </row>
    <row r="75" spans="1:45" ht="42" customHeight="1">
      <c r="A75" s="1">
        <v>393</v>
      </c>
      <c r="B75" s="49"/>
      <c r="C75" s="43"/>
      <c r="D75" s="14" t="s">
        <v>444</v>
      </c>
      <c r="E75" s="15">
        <v>44</v>
      </c>
      <c r="F75" s="15" t="s">
        <v>150</v>
      </c>
      <c r="G75" s="32" t="s">
        <v>93</v>
      </c>
      <c r="H75" s="14" t="s">
        <v>141</v>
      </c>
      <c r="I75" s="16" t="s">
        <v>93</v>
      </c>
      <c r="J75" s="17" t="s">
        <v>89</v>
      </c>
      <c r="K75" s="17" t="s">
        <v>90</v>
      </c>
      <c r="L75" s="17" t="s">
        <v>445</v>
      </c>
      <c r="M75" s="18" t="s">
        <v>790</v>
      </c>
      <c r="N75" s="18" t="s">
        <v>790</v>
      </c>
      <c r="O75" s="18">
        <v>1435</v>
      </c>
      <c r="P75" s="18">
        <v>195</v>
      </c>
      <c r="Q75" s="19">
        <v>1585</v>
      </c>
      <c r="R75" s="20"/>
      <c r="S75" s="21">
        <v>23.5</v>
      </c>
      <c r="T75" s="21">
        <v>32.1</v>
      </c>
      <c r="U75" s="22" t="s">
        <v>93</v>
      </c>
      <c r="V75" s="23">
        <v>930</v>
      </c>
      <c r="W75" s="24"/>
      <c r="X75" s="25">
        <v>760</v>
      </c>
      <c r="Y75" s="25">
        <v>965</v>
      </c>
      <c r="Z75" s="25">
        <v>980</v>
      </c>
      <c r="AA75" s="25">
        <v>700</v>
      </c>
      <c r="AB75" s="25">
        <v>700</v>
      </c>
      <c r="AC75" s="26"/>
      <c r="AD75" s="26"/>
      <c r="AE75" s="22">
        <v>1495</v>
      </c>
      <c r="AF75" s="17" t="s">
        <v>93</v>
      </c>
      <c r="AG75" s="17" t="s">
        <v>93</v>
      </c>
      <c r="AH75" s="17" t="s">
        <v>93</v>
      </c>
      <c r="AI75" s="17"/>
      <c r="AJ75" s="19">
        <v>1585</v>
      </c>
      <c r="AK75" s="19">
        <v>49.55</v>
      </c>
      <c r="AL75" s="27">
        <v>0</v>
      </c>
      <c r="AM75" s="14" t="s">
        <v>449</v>
      </c>
      <c r="AN75" s="17" t="s">
        <v>93</v>
      </c>
      <c r="AO75" s="5" t="s">
        <v>450</v>
      </c>
      <c r="AP75" s="28" t="s">
        <v>93</v>
      </c>
      <c r="AQ75" s="29" t="str">
        <f t="shared" si="3"/>
        <v>10B10G(10XDT10Xanhlácây)</v>
      </c>
      <c r="AR75" s="29" t="str">
        <f t="shared" si="4"/>
        <v>10B10G</v>
      </c>
    </row>
    <row r="76" spans="1:45" ht="42" customHeight="1">
      <c r="A76" s="1">
        <v>394</v>
      </c>
      <c r="B76" s="12" t="s">
        <v>451</v>
      </c>
      <c r="C76" s="13" t="s">
        <v>864</v>
      </c>
      <c r="D76" s="14" t="s">
        <v>444</v>
      </c>
      <c r="E76" s="15">
        <v>44</v>
      </c>
      <c r="F76" s="15" t="s">
        <v>150</v>
      </c>
      <c r="G76" s="32" t="s">
        <v>93</v>
      </c>
      <c r="H76" s="14" t="s">
        <v>401</v>
      </c>
      <c r="I76" s="16" t="s">
        <v>93</v>
      </c>
      <c r="J76" s="17" t="s">
        <v>89</v>
      </c>
      <c r="K76" s="17" t="s">
        <v>90</v>
      </c>
      <c r="L76" s="17" t="s">
        <v>445</v>
      </c>
      <c r="M76" s="18" t="s">
        <v>790</v>
      </c>
      <c r="N76" s="18" t="s">
        <v>790</v>
      </c>
      <c r="O76" s="18">
        <v>1435</v>
      </c>
      <c r="P76" s="18">
        <v>195</v>
      </c>
      <c r="Q76" s="19">
        <v>1585</v>
      </c>
      <c r="R76" s="20"/>
      <c r="S76" s="21">
        <v>23.5</v>
      </c>
      <c r="T76" s="21">
        <v>32.1</v>
      </c>
      <c r="U76" s="22" t="s">
        <v>93</v>
      </c>
      <c r="V76" s="23">
        <v>930</v>
      </c>
      <c r="W76" s="24"/>
      <c r="X76" s="25">
        <v>760</v>
      </c>
      <c r="Y76" s="25">
        <v>965</v>
      </c>
      <c r="Z76" s="25">
        <v>980</v>
      </c>
      <c r="AA76" s="25">
        <v>700</v>
      </c>
      <c r="AB76" s="25">
        <v>700</v>
      </c>
      <c r="AC76" s="26"/>
      <c r="AD76" s="26"/>
      <c r="AE76" s="22">
        <v>1495</v>
      </c>
      <c r="AF76" s="17" t="s">
        <v>93</v>
      </c>
      <c r="AG76" s="17" t="s">
        <v>93</v>
      </c>
      <c r="AH76" s="17" t="s">
        <v>93</v>
      </c>
      <c r="AI76" s="17"/>
      <c r="AJ76" s="19">
        <v>1585</v>
      </c>
      <c r="AK76" s="19">
        <v>49.55</v>
      </c>
      <c r="AL76" s="27">
        <v>0</v>
      </c>
      <c r="AM76" s="14" t="s">
        <v>452</v>
      </c>
      <c r="AN76" s="17" t="s">
        <v>93</v>
      </c>
      <c r="AO76" s="5" t="s">
        <v>453</v>
      </c>
      <c r="AP76" s="28" t="s">
        <v>448</v>
      </c>
      <c r="AQ76" s="29" t="str">
        <f t="shared" si="3"/>
        <v>10R10Y(10Đỏ10Vàng)</v>
      </c>
      <c r="AR76" s="29" t="str">
        <f t="shared" si="4"/>
        <v>10R10Y</v>
      </c>
    </row>
    <row r="77" spans="1:45" ht="42" customHeight="1">
      <c r="A77" s="1">
        <v>395</v>
      </c>
      <c r="B77" s="12" t="s">
        <v>454</v>
      </c>
      <c r="C77" s="13" t="s">
        <v>865</v>
      </c>
      <c r="D77" s="14" t="s">
        <v>444</v>
      </c>
      <c r="E77" s="15">
        <v>50</v>
      </c>
      <c r="F77" s="15" t="s">
        <v>150</v>
      </c>
      <c r="G77" s="32" t="s">
        <v>93</v>
      </c>
      <c r="H77" s="14" t="s">
        <v>455</v>
      </c>
      <c r="I77" s="16" t="s">
        <v>93</v>
      </c>
      <c r="J77" s="17" t="s">
        <v>89</v>
      </c>
      <c r="K77" s="17" t="s">
        <v>90</v>
      </c>
      <c r="L77" s="17" t="s">
        <v>445</v>
      </c>
      <c r="M77" s="18" t="s">
        <v>790</v>
      </c>
      <c r="N77" s="18" t="s">
        <v>790</v>
      </c>
      <c r="O77" s="18">
        <v>1435</v>
      </c>
      <c r="P77" s="18">
        <v>195</v>
      </c>
      <c r="Q77" s="19">
        <v>1585</v>
      </c>
      <c r="R77" s="20"/>
      <c r="S77" s="21">
        <v>23.5</v>
      </c>
      <c r="T77" s="21">
        <v>32.1</v>
      </c>
      <c r="U77" s="22" t="s">
        <v>93</v>
      </c>
      <c r="V77" s="23">
        <v>930</v>
      </c>
      <c r="W77" s="24"/>
      <c r="X77" s="25">
        <v>760</v>
      </c>
      <c r="Y77" s="25">
        <v>965</v>
      </c>
      <c r="Z77" s="25">
        <v>980</v>
      </c>
      <c r="AA77" s="25">
        <v>700</v>
      </c>
      <c r="AB77" s="25">
        <v>700</v>
      </c>
      <c r="AC77" s="26"/>
      <c r="AD77" s="26"/>
      <c r="AE77" s="22">
        <v>1495</v>
      </c>
      <c r="AF77" s="17" t="s">
        <v>93</v>
      </c>
      <c r="AG77" s="17" t="s">
        <v>93</v>
      </c>
      <c r="AH77" s="17" t="s">
        <v>93</v>
      </c>
      <c r="AI77" s="17"/>
      <c r="AJ77" s="19">
        <v>1585</v>
      </c>
      <c r="AK77" s="19">
        <v>49.55</v>
      </c>
      <c r="AL77" s="27">
        <v>0</v>
      </c>
      <c r="AM77" s="14" t="s">
        <v>456</v>
      </c>
      <c r="AN77" s="17" t="s">
        <v>93</v>
      </c>
      <c r="AO77" s="5" t="s">
        <v>457</v>
      </c>
      <c r="AP77" s="28" t="s">
        <v>458</v>
      </c>
      <c r="AQ77" s="29" t="str">
        <f t="shared" si="3"/>
        <v>15Y10B(15Vàng10XDT)</v>
      </c>
      <c r="AR77" s="29" t="str">
        <f t="shared" si="4"/>
        <v>15Y10B</v>
      </c>
    </row>
    <row r="78" spans="1:45" ht="42" customHeight="1">
      <c r="A78" s="1">
        <v>396</v>
      </c>
      <c r="B78" s="12" t="s">
        <v>459</v>
      </c>
      <c r="C78" s="13" t="s">
        <v>866</v>
      </c>
      <c r="D78" s="14" t="s">
        <v>444</v>
      </c>
      <c r="E78" s="15">
        <v>50</v>
      </c>
      <c r="F78" s="15" t="s">
        <v>150</v>
      </c>
      <c r="G78" s="32" t="s">
        <v>93</v>
      </c>
      <c r="H78" s="14" t="s">
        <v>413</v>
      </c>
      <c r="I78" s="16" t="s">
        <v>93</v>
      </c>
      <c r="J78" s="17" t="s">
        <v>89</v>
      </c>
      <c r="K78" s="17" t="s">
        <v>90</v>
      </c>
      <c r="L78" s="17" t="s">
        <v>460</v>
      </c>
      <c r="M78" s="18" t="s">
        <v>790</v>
      </c>
      <c r="N78" s="18" t="s">
        <v>790</v>
      </c>
      <c r="O78" s="18">
        <v>1440</v>
      </c>
      <c r="P78" s="18">
        <v>178</v>
      </c>
      <c r="Q78" s="19">
        <v>1575</v>
      </c>
      <c r="R78" s="20"/>
      <c r="S78" s="21">
        <v>30.6</v>
      </c>
      <c r="T78" s="21">
        <v>42</v>
      </c>
      <c r="U78" s="22" t="s">
        <v>93</v>
      </c>
      <c r="V78" s="23">
        <v>970</v>
      </c>
      <c r="W78" s="24"/>
      <c r="X78" s="25">
        <v>830</v>
      </c>
      <c r="Y78" s="25">
        <v>970</v>
      </c>
      <c r="Z78" s="25">
        <v>980</v>
      </c>
      <c r="AA78" s="25">
        <v>680</v>
      </c>
      <c r="AB78" s="25">
        <v>700</v>
      </c>
      <c r="AC78" s="26"/>
      <c r="AD78" s="26"/>
      <c r="AE78" s="22">
        <v>1590</v>
      </c>
      <c r="AF78" s="17" t="s">
        <v>93</v>
      </c>
      <c r="AG78" s="17" t="s">
        <v>93</v>
      </c>
      <c r="AH78" s="17" t="s">
        <v>93</v>
      </c>
      <c r="AI78" s="17"/>
      <c r="AJ78" s="19">
        <v>1575</v>
      </c>
      <c r="AK78" s="19">
        <v>50.25</v>
      </c>
      <c r="AL78" s="27">
        <v>0</v>
      </c>
      <c r="AM78" s="14" t="s">
        <v>461</v>
      </c>
      <c r="AN78" s="17" t="s">
        <v>93</v>
      </c>
      <c r="AO78" s="5" t="s">
        <v>462</v>
      </c>
      <c r="AP78" s="28" t="s">
        <v>463</v>
      </c>
      <c r="AQ78" s="29" t="str">
        <f t="shared" si="3"/>
        <v>22.5W15Y(22.5Trắng15Vàng)</v>
      </c>
      <c r="AR78" s="29" t="str">
        <f t="shared" si="4"/>
        <v>22.5W15Y</v>
      </c>
    </row>
    <row r="79" spans="1:45" ht="42" customHeight="1">
      <c r="A79" s="1">
        <v>397</v>
      </c>
      <c r="B79" s="49"/>
      <c r="C79" s="43"/>
      <c r="D79" s="14" t="s">
        <v>444</v>
      </c>
      <c r="E79" s="15">
        <v>50</v>
      </c>
      <c r="F79" s="15" t="s">
        <v>150</v>
      </c>
      <c r="G79" s="32" t="s">
        <v>93</v>
      </c>
      <c r="H79" s="14" t="s">
        <v>413</v>
      </c>
      <c r="I79" s="16" t="s">
        <v>93</v>
      </c>
      <c r="J79" s="17" t="s">
        <v>89</v>
      </c>
      <c r="K79" s="17" t="s">
        <v>90</v>
      </c>
      <c r="L79" s="17" t="s">
        <v>460</v>
      </c>
      <c r="M79" s="18" t="s">
        <v>790</v>
      </c>
      <c r="N79" s="18" t="s">
        <v>790</v>
      </c>
      <c r="O79" s="18">
        <v>1445</v>
      </c>
      <c r="P79" s="18">
        <v>178</v>
      </c>
      <c r="Q79" s="19">
        <v>1645</v>
      </c>
      <c r="R79" s="20"/>
      <c r="S79" s="21">
        <v>12.6</v>
      </c>
      <c r="T79" s="21">
        <v>17</v>
      </c>
      <c r="U79" s="22" t="s">
        <v>93</v>
      </c>
      <c r="V79" s="22">
        <v>930</v>
      </c>
      <c r="W79" s="24"/>
      <c r="X79" s="35">
        <v>430</v>
      </c>
      <c r="Y79" s="35">
        <v>970</v>
      </c>
      <c r="Z79" s="35">
        <v>990</v>
      </c>
      <c r="AA79" s="25">
        <v>700</v>
      </c>
      <c r="AB79" s="35">
        <v>700</v>
      </c>
      <c r="AC79" s="36"/>
      <c r="AD79" s="36"/>
      <c r="AE79" s="22">
        <v>1640</v>
      </c>
      <c r="AF79" s="17" t="s">
        <v>93</v>
      </c>
      <c r="AG79" s="17" t="s">
        <v>93</v>
      </c>
      <c r="AH79" s="17" t="s">
        <v>93</v>
      </c>
      <c r="AI79" s="17"/>
      <c r="AJ79" s="19">
        <v>1645</v>
      </c>
      <c r="AK79" s="19">
        <v>50.35</v>
      </c>
      <c r="AL79" s="27">
        <v>0</v>
      </c>
      <c r="AM79" s="14" t="s">
        <v>933</v>
      </c>
      <c r="AN79" s="17" t="s">
        <v>93</v>
      </c>
      <c r="AO79" s="5" t="s">
        <v>464</v>
      </c>
      <c r="AP79" s="28" t="s">
        <v>93</v>
      </c>
      <c r="AQ79" s="29" t="str">
        <f t="shared" si="3"/>
        <v>10V15R(10Tímꞁ15Đỏ)</v>
      </c>
      <c r="AR79" s="29" t="str">
        <f t="shared" si="4"/>
        <v>10V15R</v>
      </c>
    </row>
    <row r="80" spans="1:45" ht="42" customHeight="1">
      <c r="A80" s="1">
        <v>398</v>
      </c>
      <c r="B80" s="12" t="s">
        <v>465</v>
      </c>
      <c r="C80" s="13" t="s">
        <v>867</v>
      </c>
      <c r="D80" s="14" t="s">
        <v>444</v>
      </c>
      <c r="E80" s="15">
        <v>50</v>
      </c>
      <c r="F80" s="15" t="s">
        <v>150</v>
      </c>
      <c r="G80" s="32" t="s">
        <v>93</v>
      </c>
      <c r="H80" s="14" t="s">
        <v>466</v>
      </c>
      <c r="I80" s="16" t="s">
        <v>93</v>
      </c>
      <c r="J80" s="17" t="s">
        <v>89</v>
      </c>
      <c r="K80" s="17" t="s">
        <v>90</v>
      </c>
      <c r="L80" s="17" t="s">
        <v>467</v>
      </c>
      <c r="M80" s="18" t="s">
        <v>468</v>
      </c>
      <c r="N80" s="18" t="s">
        <v>468</v>
      </c>
      <c r="O80" s="18">
        <v>1445</v>
      </c>
      <c r="P80" s="18">
        <v>178</v>
      </c>
      <c r="Q80" s="19">
        <v>1645</v>
      </c>
      <c r="R80" s="20"/>
      <c r="S80" s="21">
        <v>17.8</v>
      </c>
      <c r="T80" s="21">
        <v>24.2</v>
      </c>
      <c r="U80" s="22" t="s">
        <v>93</v>
      </c>
      <c r="V80" s="22">
        <v>940</v>
      </c>
      <c r="W80" s="24"/>
      <c r="X80" s="35">
        <v>600</v>
      </c>
      <c r="Y80" s="35">
        <v>970</v>
      </c>
      <c r="Z80" s="35">
        <v>980</v>
      </c>
      <c r="AA80" s="25">
        <v>700</v>
      </c>
      <c r="AB80" s="35">
        <v>700</v>
      </c>
      <c r="AC80" s="36"/>
      <c r="AD80" s="36"/>
      <c r="AE80" s="22" t="s">
        <v>93</v>
      </c>
      <c r="AF80" s="17" t="s">
        <v>93</v>
      </c>
      <c r="AG80" s="17" t="s">
        <v>93</v>
      </c>
      <c r="AH80" s="17" t="s">
        <v>93</v>
      </c>
      <c r="AI80" s="17"/>
      <c r="AJ80" s="19">
        <v>1645</v>
      </c>
      <c r="AK80" s="19">
        <v>50.35</v>
      </c>
      <c r="AL80" s="27">
        <v>0</v>
      </c>
      <c r="AM80" s="14" t="s">
        <v>469</v>
      </c>
      <c r="AN80" s="17" t="s">
        <v>93</v>
      </c>
      <c r="AO80" s="5" t="s">
        <v>470</v>
      </c>
      <c r="AP80" s="37" t="s">
        <v>471</v>
      </c>
      <c r="AQ80" s="29" t="str">
        <f t="shared" si="3"/>
        <v>10B15B(10XDT15XDT)</v>
      </c>
      <c r="AR80" s="29" t="str">
        <f t="shared" si="4"/>
        <v>10B15B</v>
      </c>
    </row>
    <row r="81" spans="1:44" ht="42" customHeight="1">
      <c r="A81" s="1">
        <v>399</v>
      </c>
      <c r="B81" s="12" t="s">
        <v>472</v>
      </c>
      <c r="C81" s="13" t="s">
        <v>868</v>
      </c>
      <c r="D81" s="14" t="s">
        <v>444</v>
      </c>
      <c r="E81" s="15">
        <v>44</v>
      </c>
      <c r="F81" s="15" t="s">
        <v>150</v>
      </c>
      <c r="G81" s="32" t="s">
        <v>93</v>
      </c>
      <c r="H81" s="14" t="s">
        <v>473</v>
      </c>
      <c r="I81" s="16" t="s">
        <v>93</v>
      </c>
      <c r="J81" s="17" t="s">
        <v>89</v>
      </c>
      <c r="K81" s="17" t="s">
        <v>90</v>
      </c>
      <c r="L81" s="17" t="s">
        <v>474</v>
      </c>
      <c r="M81" s="18" t="s">
        <v>790</v>
      </c>
      <c r="N81" s="18" t="s">
        <v>790</v>
      </c>
      <c r="O81" s="18">
        <v>1445</v>
      </c>
      <c r="P81" s="18">
        <v>182</v>
      </c>
      <c r="Q81" s="19">
        <v>1795</v>
      </c>
      <c r="R81" s="20"/>
      <c r="S81" s="21">
        <v>25</v>
      </c>
      <c r="T81" s="21">
        <v>34.700000000000003</v>
      </c>
      <c r="U81" s="22" t="s">
        <v>93</v>
      </c>
      <c r="V81" s="23">
        <v>840</v>
      </c>
      <c r="W81" s="24"/>
      <c r="X81" s="25">
        <v>823</v>
      </c>
      <c r="Y81" s="25">
        <v>980</v>
      </c>
      <c r="Z81" s="25">
        <v>980</v>
      </c>
      <c r="AA81" s="25">
        <v>700</v>
      </c>
      <c r="AB81" s="25">
        <v>700</v>
      </c>
      <c r="AC81" s="26"/>
      <c r="AD81" s="26"/>
      <c r="AE81" s="22">
        <v>1725</v>
      </c>
      <c r="AF81" s="17" t="s">
        <v>93</v>
      </c>
      <c r="AG81" s="17" t="s">
        <v>93</v>
      </c>
      <c r="AH81" s="17" t="s">
        <v>93</v>
      </c>
      <c r="AI81" s="17"/>
      <c r="AJ81" s="19">
        <v>1795</v>
      </c>
      <c r="AK81" s="19">
        <v>54.85</v>
      </c>
      <c r="AL81" s="27">
        <v>0</v>
      </c>
      <c r="AM81" s="14" t="s">
        <v>475</v>
      </c>
      <c r="AN81" s="17" t="s">
        <v>93</v>
      </c>
      <c r="AO81" s="5" t="s">
        <v>476</v>
      </c>
      <c r="AP81" s="28" t="s">
        <v>477</v>
      </c>
      <c r="AQ81" s="29" t="str">
        <f t="shared" si="3"/>
        <v>20G10R(20XLC10Đỏ)</v>
      </c>
      <c r="AR81" s="29" t="str">
        <f t="shared" si="4"/>
        <v>20G10R</v>
      </c>
    </row>
    <row r="82" spans="1:44" ht="42" customHeight="1">
      <c r="A82" s="1">
        <v>400</v>
      </c>
      <c r="B82" s="49"/>
      <c r="C82" s="43"/>
      <c r="D82" s="14" t="s">
        <v>444</v>
      </c>
      <c r="E82" s="15">
        <v>44</v>
      </c>
      <c r="F82" s="15" t="s">
        <v>150</v>
      </c>
      <c r="G82" s="32" t="s">
        <v>93</v>
      </c>
      <c r="H82" s="14" t="s">
        <v>473</v>
      </c>
      <c r="I82" s="16" t="s">
        <v>93</v>
      </c>
      <c r="J82" s="17" t="s">
        <v>89</v>
      </c>
      <c r="K82" s="17" t="s">
        <v>90</v>
      </c>
      <c r="L82" s="17" t="s">
        <v>474</v>
      </c>
      <c r="M82" s="18" t="s">
        <v>790</v>
      </c>
      <c r="N82" s="18" t="s">
        <v>790</v>
      </c>
      <c r="O82" s="18">
        <v>1445</v>
      </c>
      <c r="P82" s="18">
        <v>182</v>
      </c>
      <c r="Q82" s="19">
        <v>1795</v>
      </c>
      <c r="R82" s="20"/>
      <c r="S82" s="21">
        <v>25</v>
      </c>
      <c r="T82" s="21">
        <v>34.700000000000003</v>
      </c>
      <c r="U82" s="22" t="s">
        <v>93</v>
      </c>
      <c r="V82" s="23">
        <v>840</v>
      </c>
      <c r="W82" s="24"/>
      <c r="X82" s="25">
        <v>823</v>
      </c>
      <c r="Y82" s="25">
        <v>980</v>
      </c>
      <c r="Z82" s="25">
        <v>980</v>
      </c>
      <c r="AA82" s="25">
        <v>700</v>
      </c>
      <c r="AB82" s="25">
        <v>700</v>
      </c>
      <c r="AC82" s="26"/>
      <c r="AD82" s="26"/>
      <c r="AE82" s="22">
        <v>1725</v>
      </c>
      <c r="AF82" s="17" t="s">
        <v>93</v>
      </c>
      <c r="AG82" s="17" t="s">
        <v>93</v>
      </c>
      <c r="AH82" s="17" t="s">
        <v>93</v>
      </c>
      <c r="AI82" s="17"/>
      <c r="AJ82" s="19">
        <v>1795</v>
      </c>
      <c r="AK82" s="19">
        <v>54.85</v>
      </c>
      <c r="AL82" s="27">
        <v>0</v>
      </c>
      <c r="AM82" s="14" t="s">
        <v>478</v>
      </c>
      <c r="AN82" s="17" t="s">
        <v>93</v>
      </c>
      <c r="AO82" s="5" t="s">
        <v>479</v>
      </c>
      <c r="AP82" s="28" t="s">
        <v>93</v>
      </c>
      <c r="AQ82" s="29" t="str">
        <f t="shared" si="3"/>
        <v>10R15B(10Đỏ15XDT)</v>
      </c>
      <c r="AR82" s="29" t="str">
        <f t="shared" si="4"/>
        <v>10R15B</v>
      </c>
    </row>
    <row r="83" spans="1:44" ht="42" customHeight="1">
      <c r="A83" s="1">
        <v>401</v>
      </c>
      <c r="B83" s="12" t="s">
        <v>480</v>
      </c>
      <c r="C83" s="13" t="s">
        <v>869</v>
      </c>
      <c r="D83" s="14" t="s">
        <v>444</v>
      </c>
      <c r="E83" s="15">
        <v>44</v>
      </c>
      <c r="F83" s="15" t="s">
        <v>150</v>
      </c>
      <c r="G83" s="32" t="s">
        <v>93</v>
      </c>
      <c r="H83" s="14" t="s">
        <v>481</v>
      </c>
      <c r="I83" s="16" t="s">
        <v>93</v>
      </c>
      <c r="J83" s="17" t="s">
        <v>89</v>
      </c>
      <c r="K83" s="17" t="s">
        <v>90</v>
      </c>
      <c r="L83" s="17" t="s">
        <v>474</v>
      </c>
      <c r="M83" s="18" t="s">
        <v>790</v>
      </c>
      <c r="N83" s="18" t="s">
        <v>790</v>
      </c>
      <c r="O83" s="18">
        <v>1445</v>
      </c>
      <c r="P83" s="18">
        <v>182</v>
      </c>
      <c r="Q83" s="19">
        <v>1795</v>
      </c>
      <c r="R83" s="20"/>
      <c r="S83" s="21">
        <v>25</v>
      </c>
      <c r="T83" s="21">
        <v>34.700000000000003</v>
      </c>
      <c r="U83" s="22" t="s">
        <v>93</v>
      </c>
      <c r="V83" s="23">
        <v>840</v>
      </c>
      <c r="W83" s="24"/>
      <c r="X83" s="25">
        <v>823</v>
      </c>
      <c r="Y83" s="25">
        <v>980</v>
      </c>
      <c r="Z83" s="25">
        <v>980</v>
      </c>
      <c r="AA83" s="25">
        <v>700</v>
      </c>
      <c r="AB83" s="25">
        <v>700</v>
      </c>
      <c r="AC83" s="26"/>
      <c r="AD83" s="26"/>
      <c r="AE83" s="22">
        <v>1725</v>
      </c>
      <c r="AF83" s="50" t="s">
        <v>93</v>
      </c>
      <c r="AG83" s="50" t="s">
        <v>93</v>
      </c>
      <c r="AH83" s="50" t="s">
        <v>93</v>
      </c>
      <c r="AI83" s="50"/>
      <c r="AJ83" s="19">
        <v>1795</v>
      </c>
      <c r="AK83" s="19">
        <v>54.85</v>
      </c>
      <c r="AL83" s="27">
        <v>0</v>
      </c>
      <c r="AM83" s="14" t="s">
        <v>482</v>
      </c>
      <c r="AN83" s="17" t="s">
        <v>93</v>
      </c>
      <c r="AO83" s="5" t="s">
        <v>483</v>
      </c>
      <c r="AP83" s="28" t="s">
        <v>484</v>
      </c>
      <c r="AQ83" s="29" t="str">
        <f t="shared" si="3"/>
        <v>10W10W(10Trắng10Trắng)</v>
      </c>
      <c r="AR83" s="29" t="str">
        <f t="shared" si="4"/>
        <v>10W10W</v>
      </c>
    </row>
    <row r="84" spans="1:44" ht="42" customHeight="1">
      <c r="A84" s="1">
        <v>402</v>
      </c>
      <c r="B84" s="12" t="s">
        <v>485</v>
      </c>
      <c r="C84" s="13" t="s">
        <v>870</v>
      </c>
      <c r="D84" s="14" t="s">
        <v>444</v>
      </c>
      <c r="E84" s="15">
        <v>44</v>
      </c>
      <c r="F84" s="15" t="s">
        <v>150</v>
      </c>
      <c r="G84" s="32" t="s">
        <v>93</v>
      </c>
      <c r="H84" s="14" t="s">
        <v>422</v>
      </c>
      <c r="I84" s="33" t="s">
        <v>30</v>
      </c>
      <c r="J84" s="17" t="s">
        <v>89</v>
      </c>
      <c r="K84" s="17" t="s">
        <v>90</v>
      </c>
      <c r="L84" s="17" t="s">
        <v>486</v>
      </c>
      <c r="M84" s="18" t="s">
        <v>263</v>
      </c>
      <c r="N84" s="18" t="s">
        <v>263</v>
      </c>
      <c r="O84" s="18">
        <v>1450</v>
      </c>
      <c r="P84" s="18">
        <v>190</v>
      </c>
      <c r="Q84" s="19">
        <v>1670</v>
      </c>
      <c r="R84" s="20"/>
      <c r="S84" s="21">
        <v>19</v>
      </c>
      <c r="T84" s="21">
        <v>20.3</v>
      </c>
      <c r="U84" s="22" t="s">
        <v>93</v>
      </c>
      <c r="V84" s="22">
        <v>600</v>
      </c>
      <c r="W84" s="24"/>
      <c r="X84" s="33">
        <v>800</v>
      </c>
      <c r="Y84" s="33">
        <v>960</v>
      </c>
      <c r="Z84" s="33">
        <v>980</v>
      </c>
      <c r="AA84" s="25">
        <v>700</v>
      </c>
      <c r="AB84" s="33">
        <v>700</v>
      </c>
      <c r="AC84" s="40"/>
      <c r="AD84" s="40"/>
      <c r="AE84" s="22">
        <v>1615</v>
      </c>
      <c r="AF84" s="17" t="s">
        <v>93</v>
      </c>
      <c r="AG84" s="17" t="s">
        <v>93</v>
      </c>
      <c r="AH84" s="17" t="s">
        <v>93</v>
      </c>
      <c r="AI84" s="17"/>
      <c r="AJ84" s="19">
        <v>1670</v>
      </c>
      <c r="AK84" s="19">
        <v>50.1</v>
      </c>
      <c r="AL84" s="27">
        <v>0</v>
      </c>
      <c r="AM84" s="14" t="s">
        <v>487</v>
      </c>
      <c r="AN84" s="17" t="s">
        <v>93</v>
      </c>
      <c r="AO84" s="5" t="s">
        <v>488</v>
      </c>
      <c r="AP84" s="37" t="s">
        <v>325</v>
      </c>
      <c r="AQ84" s="29" t="str">
        <f t="shared" si="3"/>
        <v>15Y10G(15Vàng10Xanhlácây)</v>
      </c>
      <c r="AR84" s="29" t="str">
        <f t="shared" si="4"/>
        <v>15Y10G</v>
      </c>
    </row>
    <row r="85" spans="1:44" ht="42" customHeight="1">
      <c r="A85" s="1">
        <v>403</v>
      </c>
      <c r="B85" s="12" t="s">
        <v>489</v>
      </c>
      <c r="C85" s="13" t="s">
        <v>871</v>
      </c>
      <c r="D85" s="14" t="s">
        <v>444</v>
      </c>
      <c r="E85" s="15">
        <v>50</v>
      </c>
      <c r="F85" s="15" t="s">
        <v>150</v>
      </c>
      <c r="G85" s="32" t="s">
        <v>93</v>
      </c>
      <c r="H85" s="14" t="s">
        <v>245</v>
      </c>
      <c r="I85" s="33" t="s">
        <v>30</v>
      </c>
      <c r="J85" s="17" t="s">
        <v>89</v>
      </c>
      <c r="K85" s="17" t="s">
        <v>90</v>
      </c>
      <c r="L85" s="17" t="s">
        <v>460</v>
      </c>
      <c r="M85" s="18" t="s">
        <v>790</v>
      </c>
      <c r="N85" s="18" t="s">
        <v>790</v>
      </c>
      <c r="O85" s="18">
        <v>1445</v>
      </c>
      <c r="P85" s="18">
        <v>178</v>
      </c>
      <c r="Q85" s="19">
        <v>1645</v>
      </c>
      <c r="R85" s="20"/>
      <c r="S85" s="21">
        <v>23</v>
      </c>
      <c r="T85" s="21">
        <v>26.7</v>
      </c>
      <c r="U85" s="22" t="s">
        <v>93</v>
      </c>
      <c r="V85" s="22">
        <v>940</v>
      </c>
      <c r="W85" s="24"/>
      <c r="X85" s="35">
        <v>760</v>
      </c>
      <c r="Y85" s="35">
        <v>970</v>
      </c>
      <c r="Z85" s="35">
        <v>980</v>
      </c>
      <c r="AA85" s="25">
        <v>950</v>
      </c>
      <c r="AB85" s="35">
        <v>700</v>
      </c>
      <c r="AC85" s="36"/>
      <c r="AD85" s="36"/>
      <c r="AE85" s="22">
        <v>1640</v>
      </c>
      <c r="AF85" s="17" t="s">
        <v>93</v>
      </c>
      <c r="AG85" s="17" t="s">
        <v>93</v>
      </c>
      <c r="AH85" s="17" t="s">
        <v>93</v>
      </c>
      <c r="AI85" s="17"/>
      <c r="AJ85" s="19">
        <v>1645</v>
      </c>
      <c r="AK85" s="19">
        <v>50.35</v>
      </c>
      <c r="AL85" s="27">
        <v>0</v>
      </c>
      <c r="AM85" s="14" t="s">
        <v>490</v>
      </c>
      <c r="AN85" s="17" t="s">
        <v>93</v>
      </c>
      <c r="AO85" s="5" t="s">
        <v>491</v>
      </c>
      <c r="AP85" s="37" t="s">
        <v>179</v>
      </c>
      <c r="AQ85" s="29" t="str">
        <f t="shared" si="3"/>
        <v>10R15Y10Y(10Đỏ15Vàng10Vàng)</v>
      </c>
      <c r="AR85" s="29" t="str">
        <f t="shared" si="4"/>
        <v>10R15Y10Y</v>
      </c>
    </row>
    <row r="86" spans="1:44" ht="42" customHeight="1">
      <c r="A86" s="1">
        <v>404</v>
      </c>
      <c r="B86" s="12" t="s">
        <v>492</v>
      </c>
      <c r="C86" s="13" t="s">
        <v>872</v>
      </c>
      <c r="D86" s="14" t="s">
        <v>493</v>
      </c>
      <c r="E86" s="15">
        <v>49</v>
      </c>
      <c r="F86" s="15" t="s">
        <v>150</v>
      </c>
      <c r="G86" s="32" t="s">
        <v>93</v>
      </c>
      <c r="H86" s="14" t="s">
        <v>422</v>
      </c>
      <c r="I86" s="16" t="s">
        <v>30</v>
      </c>
      <c r="J86" s="17" t="s">
        <v>89</v>
      </c>
      <c r="K86" s="17" t="s">
        <v>90</v>
      </c>
      <c r="L86" s="17" t="s">
        <v>494</v>
      </c>
      <c r="M86" s="18" t="s">
        <v>263</v>
      </c>
      <c r="N86" s="18" t="s">
        <v>263</v>
      </c>
      <c r="O86" s="18">
        <v>1440</v>
      </c>
      <c r="P86" s="18">
        <v>192</v>
      </c>
      <c r="Q86" s="19">
        <v>2045</v>
      </c>
      <c r="R86" s="20"/>
      <c r="S86" s="21">
        <v>23.5</v>
      </c>
      <c r="T86" s="21">
        <v>31.7</v>
      </c>
      <c r="U86" s="22" t="s">
        <v>93</v>
      </c>
      <c r="V86" s="23">
        <v>800</v>
      </c>
      <c r="W86" s="24"/>
      <c r="X86" s="25">
        <v>760</v>
      </c>
      <c r="Y86" s="25">
        <v>960</v>
      </c>
      <c r="Z86" s="25">
        <v>980</v>
      </c>
      <c r="AA86" s="25">
        <v>700</v>
      </c>
      <c r="AB86" s="25">
        <v>700</v>
      </c>
      <c r="AC86" s="26"/>
      <c r="AD86" s="26"/>
      <c r="AE86" s="22">
        <v>2000</v>
      </c>
      <c r="AF86" s="17" t="s">
        <v>93</v>
      </c>
      <c r="AG86" s="17" t="s">
        <v>93</v>
      </c>
      <c r="AH86" s="17" t="s">
        <v>93</v>
      </c>
      <c r="AI86" s="17"/>
      <c r="AJ86" s="19">
        <v>2045</v>
      </c>
      <c r="AK86" s="19">
        <v>60.349999999999994</v>
      </c>
      <c r="AL86" s="27">
        <v>0</v>
      </c>
      <c r="AM86" s="14" t="s">
        <v>495</v>
      </c>
      <c r="AN86" s="17" t="s">
        <v>93</v>
      </c>
      <c r="AO86" s="5" t="s">
        <v>496</v>
      </c>
      <c r="AP86" s="28" t="s">
        <v>497</v>
      </c>
      <c r="AQ86" s="29" t="str">
        <f t="shared" si="3"/>
        <v>15Y10V(15Vàng10Tím)</v>
      </c>
      <c r="AR86" s="29" t="str">
        <f t="shared" si="4"/>
        <v>15Y10V</v>
      </c>
    </row>
    <row r="87" spans="1:44" ht="42" customHeight="1">
      <c r="A87" s="1">
        <v>405</v>
      </c>
      <c r="B87" s="12" t="s">
        <v>498</v>
      </c>
      <c r="C87" s="13" t="s">
        <v>873</v>
      </c>
      <c r="D87" s="14" t="s">
        <v>499</v>
      </c>
      <c r="E87" s="15">
        <v>58</v>
      </c>
      <c r="F87" s="15" t="s">
        <v>150</v>
      </c>
      <c r="G87" s="32" t="s">
        <v>93</v>
      </c>
      <c r="H87" s="14" t="s">
        <v>407</v>
      </c>
      <c r="I87" s="16" t="s">
        <v>30</v>
      </c>
      <c r="J87" s="17" t="s">
        <v>89</v>
      </c>
      <c r="K87" s="17" t="s">
        <v>90</v>
      </c>
      <c r="L87" s="17" t="s">
        <v>500</v>
      </c>
      <c r="M87" s="18" t="s">
        <v>409</v>
      </c>
      <c r="N87" s="18" t="s">
        <v>409</v>
      </c>
      <c r="O87" s="18">
        <v>1460</v>
      </c>
      <c r="P87" s="18">
        <v>240</v>
      </c>
      <c r="Q87" s="19">
        <v>2665</v>
      </c>
      <c r="R87" s="20"/>
      <c r="S87" s="21">
        <v>36</v>
      </c>
      <c r="T87" s="21">
        <v>39.6</v>
      </c>
      <c r="U87" s="22" t="s">
        <v>93</v>
      </c>
      <c r="V87" s="23">
        <v>680</v>
      </c>
      <c r="W87" s="24"/>
      <c r="X87" s="25">
        <v>860</v>
      </c>
      <c r="Y87" s="25">
        <v>980</v>
      </c>
      <c r="Z87" s="25">
        <v>700</v>
      </c>
      <c r="AA87" s="25">
        <v>700</v>
      </c>
      <c r="AB87" s="25">
        <v>700</v>
      </c>
      <c r="AC87" s="26"/>
      <c r="AD87" s="26"/>
      <c r="AE87" s="22">
        <v>2620</v>
      </c>
      <c r="AF87" s="17" t="s">
        <v>93</v>
      </c>
      <c r="AG87" s="17" t="s">
        <v>93</v>
      </c>
      <c r="AH87" s="17" t="s">
        <v>93</v>
      </c>
      <c r="AI87" s="17"/>
      <c r="AJ87" s="19">
        <v>2665</v>
      </c>
      <c r="AK87" s="19">
        <v>79.95</v>
      </c>
      <c r="AL87" s="27">
        <v>0</v>
      </c>
      <c r="AM87" s="14" t="s">
        <v>177</v>
      </c>
      <c r="AN87" s="17" t="s">
        <v>93</v>
      </c>
      <c r="AO87" s="5" t="s">
        <v>501</v>
      </c>
      <c r="AP87" s="28" t="s">
        <v>502</v>
      </c>
      <c r="AQ87" s="29" t="str">
        <f t="shared" si="3"/>
        <v>15G(15Xanhlácây)</v>
      </c>
      <c r="AR87" s="29" t="str">
        <f t="shared" si="4"/>
        <v>15G</v>
      </c>
    </row>
    <row r="88" spans="1:44" ht="42" customHeight="1">
      <c r="A88" s="1">
        <v>406</v>
      </c>
      <c r="B88" s="51" t="s">
        <v>503</v>
      </c>
      <c r="C88" s="13" t="s">
        <v>503</v>
      </c>
      <c r="D88" s="52" t="s">
        <v>504</v>
      </c>
      <c r="E88" s="32" t="s">
        <v>93</v>
      </c>
      <c r="F88" s="32" t="s">
        <v>93</v>
      </c>
      <c r="G88" s="51" t="s">
        <v>87</v>
      </c>
      <c r="H88" s="53" t="s">
        <v>505</v>
      </c>
      <c r="I88" s="16" t="s">
        <v>93</v>
      </c>
      <c r="J88" s="17" t="s">
        <v>192</v>
      </c>
      <c r="K88" s="51" t="s">
        <v>193</v>
      </c>
      <c r="L88" s="51" t="s">
        <v>506</v>
      </c>
      <c r="M88" s="51" t="s">
        <v>507</v>
      </c>
      <c r="N88" s="51" t="s">
        <v>507</v>
      </c>
      <c r="O88" s="54">
        <v>380</v>
      </c>
      <c r="P88" s="54">
        <v>130</v>
      </c>
      <c r="Q88" s="54">
        <v>200</v>
      </c>
      <c r="R88" s="20"/>
      <c r="S88" s="21" t="s">
        <v>93</v>
      </c>
      <c r="T88" s="21" t="s">
        <v>93</v>
      </c>
      <c r="U88" s="22" t="s">
        <v>93</v>
      </c>
      <c r="V88" s="22" t="s">
        <v>93</v>
      </c>
      <c r="W88" s="24"/>
      <c r="X88" s="35" t="s">
        <v>93</v>
      </c>
      <c r="Y88" s="35" t="s">
        <v>93</v>
      </c>
      <c r="Z88" s="35" t="s">
        <v>93</v>
      </c>
      <c r="AA88" s="35" t="s">
        <v>93</v>
      </c>
      <c r="AB88" s="35" t="s">
        <v>93</v>
      </c>
      <c r="AC88" s="36"/>
      <c r="AD88" s="36"/>
      <c r="AE88" s="22" t="s">
        <v>93</v>
      </c>
      <c r="AF88" s="22" t="s">
        <v>93</v>
      </c>
      <c r="AG88" s="22" t="s">
        <v>93</v>
      </c>
      <c r="AH88" s="22" t="s">
        <v>93</v>
      </c>
      <c r="AI88" s="22"/>
      <c r="AJ88" s="54">
        <v>200</v>
      </c>
      <c r="AK88" s="54">
        <v>5</v>
      </c>
      <c r="AL88" s="27">
        <v>0</v>
      </c>
      <c r="AM88" s="14" t="s">
        <v>94</v>
      </c>
      <c r="AN88" s="17" t="s">
        <v>93</v>
      </c>
      <c r="AO88" s="55" t="s">
        <v>508</v>
      </c>
      <c r="AP88" s="28" t="s">
        <v>93</v>
      </c>
      <c r="AQ88" s="29" t="str">
        <f t="shared" si="3"/>
        <v/>
      </c>
      <c r="AR88" s="29" t="str">
        <f t="shared" si="4"/>
        <v/>
      </c>
    </row>
    <row r="89" spans="1:44" ht="42" customHeight="1">
      <c r="A89" s="1">
        <v>407</v>
      </c>
      <c r="B89" s="51" t="s">
        <v>509</v>
      </c>
      <c r="C89" s="13" t="s">
        <v>874</v>
      </c>
      <c r="D89" s="52" t="s">
        <v>510</v>
      </c>
      <c r="E89" s="32" t="s">
        <v>93</v>
      </c>
      <c r="F89" s="32" t="s">
        <v>93</v>
      </c>
      <c r="G89" s="51" t="s">
        <v>87</v>
      </c>
      <c r="H89" s="53" t="s">
        <v>511</v>
      </c>
      <c r="I89" s="16" t="s">
        <v>93</v>
      </c>
      <c r="J89" s="17" t="s">
        <v>89</v>
      </c>
      <c r="K89" s="17" t="s">
        <v>90</v>
      </c>
      <c r="L89" s="51" t="s">
        <v>512</v>
      </c>
      <c r="M89" s="18" t="s">
        <v>790</v>
      </c>
      <c r="N89" s="18" t="s">
        <v>790</v>
      </c>
      <c r="O89" s="54">
        <v>380</v>
      </c>
      <c r="P89" s="54">
        <v>176</v>
      </c>
      <c r="Q89" s="54">
        <v>470</v>
      </c>
      <c r="R89" s="20"/>
      <c r="S89" s="21">
        <v>8.5</v>
      </c>
      <c r="T89" s="21">
        <v>11.9</v>
      </c>
      <c r="U89" s="22" t="s">
        <v>93</v>
      </c>
      <c r="V89" s="22">
        <v>530</v>
      </c>
      <c r="W89" s="24"/>
      <c r="X89" s="35">
        <v>500</v>
      </c>
      <c r="Y89" s="35">
        <v>960</v>
      </c>
      <c r="Z89" s="35">
        <v>980</v>
      </c>
      <c r="AA89" s="35">
        <v>700</v>
      </c>
      <c r="AB89" s="35">
        <v>700</v>
      </c>
      <c r="AC89" s="36"/>
      <c r="AD89" s="36"/>
      <c r="AE89" s="22">
        <v>440</v>
      </c>
      <c r="AF89" s="22" t="s">
        <v>93</v>
      </c>
      <c r="AG89" s="22" t="s">
        <v>93</v>
      </c>
      <c r="AH89" s="22" t="s">
        <v>93</v>
      </c>
      <c r="AI89" s="22"/>
      <c r="AJ89" s="54">
        <v>470</v>
      </c>
      <c r="AK89" s="54">
        <v>15.1</v>
      </c>
      <c r="AL89" s="27">
        <v>0</v>
      </c>
      <c r="AM89" s="14" t="s">
        <v>375</v>
      </c>
      <c r="AN89" s="17" t="s">
        <v>93</v>
      </c>
      <c r="AO89" s="55" t="s">
        <v>513</v>
      </c>
      <c r="AP89" s="28" t="s">
        <v>93</v>
      </c>
      <c r="AQ89" s="29" t="str">
        <f t="shared" si="3"/>
        <v>10R(10Đỏ)</v>
      </c>
      <c r="AR89" s="29" t="str">
        <f t="shared" si="4"/>
        <v>10R</v>
      </c>
    </row>
    <row r="90" spans="1:44" ht="42" customHeight="1">
      <c r="A90" s="1">
        <v>408</v>
      </c>
      <c r="B90" s="51" t="s">
        <v>514</v>
      </c>
      <c r="C90" s="13" t="s">
        <v>875</v>
      </c>
      <c r="D90" s="52" t="s">
        <v>510</v>
      </c>
      <c r="E90" s="32" t="s">
        <v>93</v>
      </c>
      <c r="F90" s="32" t="s">
        <v>93</v>
      </c>
      <c r="G90" s="51" t="s">
        <v>87</v>
      </c>
      <c r="H90" s="53" t="s">
        <v>515</v>
      </c>
      <c r="I90" s="16" t="s">
        <v>93</v>
      </c>
      <c r="J90" s="17" t="s">
        <v>89</v>
      </c>
      <c r="K90" s="17" t="s">
        <v>90</v>
      </c>
      <c r="L90" s="51" t="s">
        <v>516</v>
      </c>
      <c r="M90" s="18" t="s">
        <v>790</v>
      </c>
      <c r="N90" s="18" t="s">
        <v>790</v>
      </c>
      <c r="O90" s="54">
        <v>380</v>
      </c>
      <c r="P90" s="54">
        <v>175</v>
      </c>
      <c r="Q90" s="54">
        <v>320</v>
      </c>
      <c r="R90" s="20"/>
      <c r="S90" s="21">
        <v>6.8</v>
      </c>
      <c r="T90" s="21">
        <v>9.6999999999999993</v>
      </c>
      <c r="U90" s="22" t="s">
        <v>93</v>
      </c>
      <c r="V90" s="22">
        <v>336</v>
      </c>
      <c r="W90" s="24"/>
      <c r="X90" s="35">
        <v>820</v>
      </c>
      <c r="Y90" s="35">
        <v>980</v>
      </c>
      <c r="Z90" s="35">
        <v>980</v>
      </c>
      <c r="AA90" s="35">
        <v>700</v>
      </c>
      <c r="AB90" s="35">
        <v>700</v>
      </c>
      <c r="AC90" s="36"/>
      <c r="AD90" s="36"/>
      <c r="AE90" s="22">
        <v>295</v>
      </c>
      <c r="AF90" s="22" t="s">
        <v>93</v>
      </c>
      <c r="AG90" s="22" t="s">
        <v>93</v>
      </c>
      <c r="AH90" s="22" t="s">
        <v>93</v>
      </c>
      <c r="AI90" s="22"/>
      <c r="AJ90" s="54">
        <v>320</v>
      </c>
      <c r="AK90" s="54">
        <v>9.6</v>
      </c>
      <c r="AL90" s="27">
        <v>0</v>
      </c>
      <c r="AM90" s="14" t="s">
        <v>94</v>
      </c>
      <c r="AN90" s="17" t="s">
        <v>93</v>
      </c>
      <c r="AO90" s="55" t="s">
        <v>517</v>
      </c>
      <c r="AP90" s="28" t="s">
        <v>93</v>
      </c>
      <c r="AQ90" s="29" t="str">
        <f t="shared" si="3"/>
        <v/>
      </c>
      <c r="AR90" s="29" t="str">
        <f t="shared" si="4"/>
        <v/>
      </c>
    </row>
    <row r="91" spans="1:44" ht="42" customHeight="1">
      <c r="A91" s="1">
        <v>409</v>
      </c>
      <c r="B91" s="51" t="s">
        <v>518</v>
      </c>
      <c r="C91" s="13" t="s">
        <v>876</v>
      </c>
      <c r="D91" s="52" t="s">
        <v>510</v>
      </c>
      <c r="E91" s="32" t="s">
        <v>93</v>
      </c>
      <c r="F91" s="32" t="s">
        <v>93</v>
      </c>
      <c r="G91" s="51" t="s">
        <v>87</v>
      </c>
      <c r="H91" s="53" t="s">
        <v>519</v>
      </c>
      <c r="I91" s="16" t="s">
        <v>93</v>
      </c>
      <c r="J91" s="17" t="s">
        <v>89</v>
      </c>
      <c r="K91" s="17" t="s">
        <v>90</v>
      </c>
      <c r="L91" s="51" t="s">
        <v>516</v>
      </c>
      <c r="M91" s="18" t="s">
        <v>790</v>
      </c>
      <c r="N91" s="18" t="s">
        <v>790</v>
      </c>
      <c r="O91" s="54">
        <v>380</v>
      </c>
      <c r="P91" s="54">
        <v>175</v>
      </c>
      <c r="Q91" s="54">
        <v>320</v>
      </c>
      <c r="R91" s="20"/>
      <c r="S91" s="21">
        <v>8.5</v>
      </c>
      <c r="T91" s="21">
        <v>11.9</v>
      </c>
      <c r="U91" s="22" t="s">
        <v>93</v>
      </c>
      <c r="V91" s="22">
        <v>470</v>
      </c>
      <c r="W91" s="24"/>
      <c r="X91" s="35">
        <v>790</v>
      </c>
      <c r="Y91" s="35">
        <v>970</v>
      </c>
      <c r="Z91" s="35">
        <v>980</v>
      </c>
      <c r="AA91" s="35">
        <v>700</v>
      </c>
      <c r="AB91" s="35">
        <v>700</v>
      </c>
      <c r="AC91" s="36"/>
      <c r="AD91" s="36"/>
      <c r="AE91" s="22">
        <v>295</v>
      </c>
      <c r="AF91" s="22" t="s">
        <v>93</v>
      </c>
      <c r="AG91" s="22" t="s">
        <v>93</v>
      </c>
      <c r="AH91" s="22" t="s">
        <v>93</v>
      </c>
      <c r="AI91" s="22"/>
      <c r="AJ91" s="54">
        <v>320</v>
      </c>
      <c r="AK91" s="54">
        <v>9.6</v>
      </c>
      <c r="AL91" s="27">
        <v>0</v>
      </c>
      <c r="AM91" s="14" t="s">
        <v>520</v>
      </c>
      <c r="AN91" s="17" t="s">
        <v>93</v>
      </c>
      <c r="AO91" s="55" t="s">
        <v>521</v>
      </c>
      <c r="AP91" s="28" t="s">
        <v>93</v>
      </c>
      <c r="AQ91" s="29" t="str">
        <f t="shared" si="3"/>
        <v>10W(10Trắng)</v>
      </c>
      <c r="AR91" s="29" t="str">
        <f t="shared" si="4"/>
        <v>10W</v>
      </c>
    </row>
    <row r="92" spans="1:44" ht="42" customHeight="1">
      <c r="A92" s="1">
        <v>410</v>
      </c>
      <c r="B92" s="51" t="s">
        <v>522</v>
      </c>
      <c r="C92" s="13" t="s">
        <v>877</v>
      </c>
      <c r="D92" s="52" t="s">
        <v>510</v>
      </c>
      <c r="E92" s="32" t="s">
        <v>93</v>
      </c>
      <c r="F92" s="32" t="s">
        <v>93</v>
      </c>
      <c r="G92" s="51" t="s">
        <v>87</v>
      </c>
      <c r="H92" s="53" t="s">
        <v>523</v>
      </c>
      <c r="I92" s="16" t="s">
        <v>93</v>
      </c>
      <c r="J92" s="17" t="s">
        <v>192</v>
      </c>
      <c r="K92" s="51" t="s">
        <v>193</v>
      </c>
      <c r="L92" s="51" t="s">
        <v>524</v>
      </c>
      <c r="M92" s="51" t="s">
        <v>507</v>
      </c>
      <c r="N92" s="51" t="s">
        <v>507</v>
      </c>
      <c r="O92" s="54">
        <v>380</v>
      </c>
      <c r="P92" s="54">
        <v>140</v>
      </c>
      <c r="Q92" s="54">
        <v>360</v>
      </c>
      <c r="R92" s="20"/>
      <c r="S92" s="21">
        <v>10.1</v>
      </c>
      <c r="T92" s="21">
        <v>13.8</v>
      </c>
      <c r="U92" s="22" t="s">
        <v>93</v>
      </c>
      <c r="V92" s="22">
        <v>860</v>
      </c>
      <c r="W92" s="24"/>
      <c r="X92" s="35">
        <v>510</v>
      </c>
      <c r="Y92" s="35">
        <v>920</v>
      </c>
      <c r="Z92" s="35">
        <v>980</v>
      </c>
      <c r="AA92" s="35">
        <v>700</v>
      </c>
      <c r="AB92" s="35">
        <v>700</v>
      </c>
      <c r="AC92" s="36"/>
      <c r="AD92" s="36"/>
      <c r="AE92" s="22" t="s">
        <v>93</v>
      </c>
      <c r="AF92" s="22" t="s">
        <v>93</v>
      </c>
      <c r="AG92" s="22" t="s">
        <v>93</v>
      </c>
      <c r="AH92" s="22" t="s">
        <v>93</v>
      </c>
      <c r="AI92" s="22"/>
      <c r="AJ92" s="54">
        <v>360</v>
      </c>
      <c r="AK92" s="54">
        <v>9.7999999999999989</v>
      </c>
      <c r="AL92" s="27">
        <v>0</v>
      </c>
      <c r="AM92" s="14" t="s">
        <v>94</v>
      </c>
      <c r="AN92" s="17" t="s">
        <v>93</v>
      </c>
      <c r="AO92" s="55" t="s">
        <v>525</v>
      </c>
      <c r="AP92" s="28" t="s">
        <v>93</v>
      </c>
      <c r="AQ92" s="29" t="str">
        <f t="shared" si="3"/>
        <v/>
      </c>
      <c r="AR92" s="29" t="str">
        <f t="shared" si="4"/>
        <v/>
      </c>
    </row>
    <row r="93" spans="1:44" ht="42" customHeight="1">
      <c r="A93" s="1">
        <v>411</v>
      </c>
      <c r="B93" s="51" t="s">
        <v>526</v>
      </c>
      <c r="C93" s="13" t="s">
        <v>878</v>
      </c>
      <c r="D93" s="52" t="s">
        <v>510</v>
      </c>
      <c r="E93" s="32" t="s">
        <v>93</v>
      </c>
      <c r="F93" s="32" t="s">
        <v>93</v>
      </c>
      <c r="G93" s="51" t="s">
        <v>87</v>
      </c>
      <c r="H93" s="53" t="s">
        <v>527</v>
      </c>
      <c r="I93" s="16" t="s">
        <v>93</v>
      </c>
      <c r="J93" s="17" t="s">
        <v>192</v>
      </c>
      <c r="K93" s="51" t="s">
        <v>193</v>
      </c>
      <c r="L93" s="51" t="s">
        <v>528</v>
      </c>
      <c r="M93" s="51" t="s">
        <v>507</v>
      </c>
      <c r="N93" s="51" t="s">
        <v>507</v>
      </c>
      <c r="O93" s="54">
        <v>380</v>
      </c>
      <c r="P93" s="54">
        <v>140</v>
      </c>
      <c r="Q93" s="54">
        <v>360</v>
      </c>
      <c r="R93" s="20"/>
      <c r="S93" s="21">
        <v>10.1</v>
      </c>
      <c r="T93" s="21">
        <v>13.8</v>
      </c>
      <c r="U93" s="22" t="s">
        <v>93</v>
      </c>
      <c r="V93" s="22">
        <v>860</v>
      </c>
      <c r="W93" s="24"/>
      <c r="X93" s="35">
        <v>510</v>
      </c>
      <c r="Y93" s="35">
        <v>920</v>
      </c>
      <c r="Z93" s="35">
        <v>980</v>
      </c>
      <c r="AA93" s="35">
        <v>700</v>
      </c>
      <c r="AB93" s="35">
        <v>700</v>
      </c>
      <c r="AC93" s="36"/>
      <c r="AD93" s="36"/>
      <c r="AE93" s="22" t="s">
        <v>93</v>
      </c>
      <c r="AF93" s="22" t="s">
        <v>93</v>
      </c>
      <c r="AG93" s="22" t="s">
        <v>93</v>
      </c>
      <c r="AH93" s="22" t="s">
        <v>93</v>
      </c>
      <c r="AI93" s="22"/>
      <c r="AJ93" s="54">
        <v>360</v>
      </c>
      <c r="AK93" s="54">
        <v>9.7999999999999989</v>
      </c>
      <c r="AL93" s="27">
        <v>0</v>
      </c>
      <c r="AM93" s="14" t="s">
        <v>94</v>
      </c>
      <c r="AN93" s="17" t="s">
        <v>93</v>
      </c>
      <c r="AO93" s="55" t="s">
        <v>529</v>
      </c>
      <c r="AP93" s="28" t="s">
        <v>93</v>
      </c>
      <c r="AQ93" s="29" t="str">
        <f t="shared" si="3"/>
        <v/>
      </c>
      <c r="AR93" s="29" t="str">
        <f t="shared" si="4"/>
        <v/>
      </c>
    </row>
    <row r="94" spans="1:44" ht="42" customHeight="1">
      <c r="A94" s="1">
        <v>412</v>
      </c>
      <c r="B94" s="51" t="s">
        <v>530</v>
      </c>
      <c r="C94" s="13" t="s">
        <v>879</v>
      </c>
      <c r="D94" s="52" t="s">
        <v>531</v>
      </c>
      <c r="E94" s="32" t="s">
        <v>93</v>
      </c>
      <c r="F94" s="32" t="s">
        <v>93</v>
      </c>
      <c r="G94" s="51" t="s">
        <v>87</v>
      </c>
      <c r="H94" s="53" t="s">
        <v>532</v>
      </c>
      <c r="I94" s="16" t="s">
        <v>93</v>
      </c>
      <c r="J94" s="17" t="s">
        <v>89</v>
      </c>
      <c r="K94" s="17" t="s">
        <v>90</v>
      </c>
      <c r="L94" s="51" t="s">
        <v>533</v>
      </c>
      <c r="M94" s="18" t="s">
        <v>790</v>
      </c>
      <c r="N94" s="18" t="s">
        <v>790</v>
      </c>
      <c r="O94" s="54">
        <v>380</v>
      </c>
      <c r="P94" s="54">
        <v>208</v>
      </c>
      <c r="Q94" s="54">
        <v>425</v>
      </c>
      <c r="R94" s="20"/>
      <c r="S94" s="21">
        <v>9.5</v>
      </c>
      <c r="T94" s="21">
        <v>13.3</v>
      </c>
      <c r="U94" s="22" t="s">
        <v>93</v>
      </c>
      <c r="V94" s="22">
        <v>410</v>
      </c>
      <c r="W94" s="24"/>
      <c r="X94" s="35">
        <v>760</v>
      </c>
      <c r="Y94" s="35">
        <v>970</v>
      </c>
      <c r="Z94" s="35">
        <v>970</v>
      </c>
      <c r="AA94" s="35">
        <v>700</v>
      </c>
      <c r="AB94" s="35">
        <v>700</v>
      </c>
      <c r="AC94" s="36"/>
      <c r="AD94" s="36"/>
      <c r="AE94" s="22">
        <v>410</v>
      </c>
      <c r="AF94" s="22" t="s">
        <v>93</v>
      </c>
      <c r="AG94" s="22" t="s">
        <v>93</v>
      </c>
      <c r="AH94" s="22" t="s">
        <v>93</v>
      </c>
      <c r="AI94" s="22"/>
      <c r="AJ94" s="54">
        <v>425</v>
      </c>
      <c r="AK94" s="54">
        <v>14.75</v>
      </c>
      <c r="AL94" s="27">
        <v>0</v>
      </c>
      <c r="AM94" s="14" t="s">
        <v>113</v>
      </c>
      <c r="AN94" s="17" t="s">
        <v>93</v>
      </c>
      <c r="AO94" s="55" t="s">
        <v>534</v>
      </c>
      <c r="AP94" s="28" t="s">
        <v>93</v>
      </c>
      <c r="AQ94" s="29" t="str">
        <f t="shared" si="3"/>
        <v>15R(15Đỏ)</v>
      </c>
      <c r="AR94" s="29" t="str">
        <f t="shared" si="4"/>
        <v>15R</v>
      </c>
    </row>
    <row r="95" spans="1:44" ht="42" customHeight="1">
      <c r="A95" s="1">
        <v>413</v>
      </c>
      <c r="B95" s="51" t="s">
        <v>535</v>
      </c>
      <c r="C95" s="13" t="s">
        <v>535</v>
      </c>
      <c r="D95" s="52" t="s">
        <v>531</v>
      </c>
      <c r="E95" s="32" t="s">
        <v>93</v>
      </c>
      <c r="F95" s="32" t="s">
        <v>93</v>
      </c>
      <c r="G95" s="51" t="s">
        <v>87</v>
      </c>
      <c r="H95" s="53" t="s">
        <v>536</v>
      </c>
      <c r="I95" s="16" t="s">
        <v>93</v>
      </c>
      <c r="J95" s="17" t="s">
        <v>89</v>
      </c>
      <c r="K95" s="17" t="s">
        <v>90</v>
      </c>
      <c r="L95" s="51" t="s">
        <v>533</v>
      </c>
      <c r="M95" s="18" t="s">
        <v>790</v>
      </c>
      <c r="N95" s="18" t="s">
        <v>790</v>
      </c>
      <c r="O95" s="54">
        <v>380</v>
      </c>
      <c r="P95" s="54">
        <v>208</v>
      </c>
      <c r="Q95" s="54">
        <v>425</v>
      </c>
      <c r="R95" s="20"/>
      <c r="S95" s="21">
        <v>9.5</v>
      </c>
      <c r="T95" s="21">
        <v>13.3</v>
      </c>
      <c r="U95" s="22" t="s">
        <v>93</v>
      </c>
      <c r="V95" s="22">
        <v>410</v>
      </c>
      <c r="W95" s="24"/>
      <c r="X95" s="35">
        <v>760</v>
      </c>
      <c r="Y95" s="35">
        <v>970</v>
      </c>
      <c r="Z95" s="35">
        <v>970</v>
      </c>
      <c r="AA95" s="35">
        <v>700</v>
      </c>
      <c r="AB95" s="35">
        <v>700</v>
      </c>
      <c r="AC95" s="36"/>
      <c r="AD95" s="36"/>
      <c r="AE95" s="22">
        <v>410</v>
      </c>
      <c r="AF95" s="22" t="s">
        <v>93</v>
      </c>
      <c r="AG95" s="22" t="s">
        <v>93</v>
      </c>
      <c r="AH95" s="22" t="s">
        <v>93</v>
      </c>
      <c r="AI95" s="22"/>
      <c r="AJ95" s="54">
        <v>425</v>
      </c>
      <c r="AK95" s="54">
        <v>14.75</v>
      </c>
      <c r="AL95" s="27">
        <v>0</v>
      </c>
      <c r="AM95" s="14" t="s">
        <v>537</v>
      </c>
      <c r="AN95" s="17" t="s">
        <v>93</v>
      </c>
      <c r="AO95" s="55" t="s">
        <v>538</v>
      </c>
      <c r="AP95" s="28" t="s">
        <v>93</v>
      </c>
      <c r="AQ95" s="29" t="str">
        <f t="shared" si="3"/>
        <v>10G(10Xanhlácây)</v>
      </c>
      <c r="AR95" s="29" t="str">
        <f t="shared" si="4"/>
        <v>10G</v>
      </c>
    </row>
    <row r="96" spans="1:44" ht="42" customHeight="1">
      <c r="A96" s="1">
        <v>414</v>
      </c>
      <c r="B96" s="51" t="s">
        <v>539</v>
      </c>
      <c r="C96" s="13" t="s">
        <v>880</v>
      </c>
      <c r="D96" s="52" t="s">
        <v>540</v>
      </c>
      <c r="E96" s="32" t="s">
        <v>93</v>
      </c>
      <c r="F96" s="32" t="s">
        <v>93</v>
      </c>
      <c r="G96" s="51" t="s">
        <v>87</v>
      </c>
      <c r="H96" s="53" t="s">
        <v>532</v>
      </c>
      <c r="I96" s="16" t="s">
        <v>93</v>
      </c>
      <c r="J96" s="17" t="s">
        <v>89</v>
      </c>
      <c r="K96" s="17" t="s">
        <v>90</v>
      </c>
      <c r="L96" s="51" t="s">
        <v>541</v>
      </c>
      <c r="M96" s="18" t="s">
        <v>790</v>
      </c>
      <c r="N96" s="18" t="s">
        <v>790</v>
      </c>
      <c r="O96" s="54">
        <v>475</v>
      </c>
      <c r="P96" s="54">
        <v>225</v>
      </c>
      <c r="Q96" s="54">
        <v>630</v>
      </c>
      <c r="R96" s="20"/>
      <c r="S96" s="21">
        <v>14</v>
      </c>
      <c r="T96" s="21">
        <v>19.399999999999999</v>
      </c>
      <c r="U96" s="22" t="s">
        <v>93</v>
      </c>
      <c r="V96" s="22">
        <v>550</v>
      </c>
      <c r="W96" s="24"/>
      <c r="X96" s="35">
        <v>750</v>
      </c>
      <c r="Y96" s="35">
        <v>970</v>
      </c>
      <c r="Z96" s="35">
        <v>990</v>
      </c>
      <c r="AA96" s="35">
        <v>700</v>
      </c>
      <c r="AB96" s="35">
        <v>700</v>
      </c>
      <c r="AC96" s="36"/>
      <c r="AD96" s="36"/>
      <c r="AE96" s="22">
        <v>595</v>
      </c>
      <c r="AF96" s="22" t="s">
        <v>93</v>
      </c>
      <c r="AG96" s="22" t="s">
        <v>93</v>
      </c>
      <c r="AH96" s="22" t="s">
        <v>93</v>
      </c>
      <c r="AI96" s="22"/>
      <c r="AJ96" s="54">
        <v>630</v>
      </c>
      <c r="AK96" s="54">
        <v>19.899999999999999</v>
      </c>
      <c r="AL96" s="27">
        <v>0</v>
      </c>
      <c r="AM96" s="14" t="s">
        <v>152</v>
      </c>
      <c r="AN96" s="17" t="s">
        <v>93</v>
      </c>
      <c r="AO96" s="55" t="s">
        <v>542</v>
      </c>
      <c r="AP96" s="28" t="s">
        <v>93</v>
      </c>
      <c r="AQ96" s="29" t="str">
        <f t="shared" si="3"/>
        <v>15W(15Trắng)</v>
      </c>
      <c r="AR96" s="29" t="str">
        <f t="shared" si="4"/>
        <v>15W</v>
      </c>
    </row>
    <row r="97" spans="1:44" ht="42" customHeight="1">
      <c r="A97" s="1">
        <v>415</v>
      </c>
      <c r="B97" s="51" t="s">
        <v>543</v>
      </c>
      <c r="C97" s="13" t="s">
        <v>881</v>
      </c>
      <c r="D97" s="52" t="s">
        <v>540</v>
      </c>
      <c r="E97" s="32" t="s">
        <v>93</v>
      </c>
      <c r="F97" s="32" t="s">
        <v>93</v>
      </c>
      <c r="G97" s="51" t="s">
        <v>87</v>
      </c>
      <c r="H97" s="53" t="s">
        <v>544</v>
      </c>
      <c r="I97" s="16" t="s">
        <v>93</v>
      </c>
      <c r="J97" s="17" t="s">
        <v>89</v>
      </c>
      <c r="K97" s="17" t="s">
        <v>90</v>
      </c>
      <c r="L97" s="51" t="s">
        <v>545</v>
      </c>
      <c r="M97" s="18" t="s">
        <v>790</v>
      </c>
      <c r="N97" s="18" t="s">
        <v>790</v>
      </c>
      <c r="O97" s="54">
        <v>510</v>
      </c>
      <c r="P97" s="54">
        <v>260</v>
      </c>
      <c r="Q97" s="54">
        <v>1230</v>
      </c>
      <c r="R97" s="20"/>
      <c r="S97" s="21">
        <v>14</v>
      </c>
      <c r="T97" s="21">
        <v>19.399999999999999</v>
      </c>
      <c r="U97" s="22" t="s">
        <v>93</v>
      </c>
      <c r="V97" s="22">
        <v>530</v>
      </c>
      <c r="W97" s="24"/>
      <c r="X97" s="35">
        <v>470</v>
      </c>
      <c r="Y97" s="35">
        <v>970</v>
      </c>
      <c r="Z97" s="35">
        <v>980</v>
      </c>
      <c r="AA97" s="35">
        <v>700</v>
      </c>
      <c r="AB97" s="35">
        <v>700</v>
      </c>
      <c r="AC97" s="36"/>
      <c r="AD97" s="36"/>
      <c r="AE97" s="22">
        <v>1140</v>
      </c>
      <c r="AF97" s="22" t="s">
        <v>93</v>
      </c>
      <c r="AG97" s="22" t="s">
        <v>93</v>
      </c>
      <c r="AH97" s="22" t="s">
        <v>93</v>
      </c>
      <c r="AI97" s="22"/>
      <c r="AJ97" s="54">
        <v>1230</v>
      </c>
      <c r="AK97" s="54">
        <v>34.9</v>
      </c>
      <c r="AL97" s="27">
        <v>0</v>
      </c>
      <c r="AM97" s="14" t="s">
        <v>546</v>
      </c>
      <c r="AN97" s="17" t="s">
        <v>93</v>
      </c>
      <c r="AO97" s="55" t="s">
        <v>547</v>
      </c>
      <c r="AP97" s="28" t="s">
        <v>93</v>
      </c>
      <c r="AQ97" s="29" t="str">
        <f t="shared" si="3"/>
        <v>15R10B(15Đỏ10XDT)</v>
      </c>
      <c r="AR97" s="29" t="str">
        <f t="shared" si="4"/>
        <v>15R10B</v>
      </c>
    </row>
    <row r="98" spans="1:44" ht="42" customHeight="1">
      <c r="A98" s="1">
        <v>416</v>
      </c>
      <c r="B98" s="51" t="s">
        <v>548</v>
      </c>
      <c r="C98" s="13" t="s">
        <v>882</v>
      </c>
      <c r="D98" s="52" t="s">
        <v>540</v>
      </c>
      <c r="E98" s="32" t="s">
        <v>93</v>
      </c>
      <c r="F98" s="32" t="s">
        <v>93</v>
      </c>
      <c r="G98" s="51" t="s">
        <v>549</v>
      </c>
      <c r="H98" s="53" t="s">
        <v>550</v>
      </c>
      <c r="I98" s="16" t="s">
        <v>93</v>
      </c>
      <c r="J98" s="17" t="s">
        <v>89</v>
      </c>
      <c r="K98" s="17" t="s">
        <v>90</v>
      </c>
      <c r="L98" s="51" t="s">
        <v>551</v>
      </c>
      <c r="M98" s="18" t="s">
        <v>790</v>
      </c>
      <c r="N98" s="18" t="s">
        <v>790</v>
      </c>
      <c r="O98" s="54">
        <v>510</v>
      </c>
      <c r="P98" s="54">
        <v>225</v>
      </c>
      <c r="Q98" s="54">
        <v>1050</v>
      </c>
      <c r="R98" s="20"/>
      <c r="S98" s="21">
        <v>17</v>
      </c>
      <c r="T98" s="21">
        <v>23.7</v>
      </c>
      <c r="U98" s="22" t="s">
        <v>93</v>
      </c>
      <c r="V98" s="22">
        <v>460</v>
      </c>
      <c r="W98" s="24"/>
      <c r="X98" s="35">
        <v>600</v>
      </c>
      <c r="Y98" s="35">
        <v>970</v>
      </c>
      <c r="Z98" s="35">
        <v>980</v>
      </c>
      <c r="AA98" s="35">
        <v>700</v>
      </c>
      <c r="AB98" s="35">
        <v>700</v>
      </c>
      <c r="AC98" s="36"/>
      <c r="AD98" s="36"/>
      <c r="AE98" s="22">
        <v>990</v>
      </c>
      <c r="AF98" s="22" t="s">
        <v>93</v>
      </c>
      <c r="AG98" s="22" t="s">
        <v>93</v>
      </c>
      <c r="AH98" s="22" t="s">
        <v>93</v>
      </c>
      <c r="AI98" s="22"/>
      <c r="AJ98" s="54">
        <v>1050</v>
      </c>
      <c r="AK98" s="19">
        <v>29.5</v>
      </c>
      <c r="AL98" s="27">
        <v>0</v>
      </c>
      <c r="AM98" s="14" t="s">
        <v>94</v>
      </c>
      <c r="AN98" s="17" t="s">
        <v>93</v>
      </c>
      <c r="AO98" s="55" t="s">
        <v>552</v>
      </c>
      <c r="AP98" s="28" t="s">
        <v>93</v>
      </c>
      <c r="AQ98" s="29" t="str">
        <f t="shared" si="3"/>
        <v/>
      </c>
      <c r="AR98" s="29" t="str">
        <f t="shared" si="4"/>
        <v/>
      </c>
    </row>
    <row r="99" spans="1:44" ht="42" customHeight="1">
      <c r="A99" s="1">
        <v>417</v>
      </c>
      <c r="B99" s="51" t="s">
        <v>553</v>
      </c>
      <c r="C99" s="13" t="s">
        <v>883</v>
      </c>
      <c r="D99" s="52" t="s">
        <v>540</v>
      </c>
      <c r="E99" s="32" t="s">
        <v>93</v>
      </c>
      <c r="F99" s="32" t="s">
        <v>93</v>
      </c>
      <c r="G99" s="51" t="s">
        <v>116</v>
      </c>
      <c r="H99" s="53" t="s">
        <v>554</v>
      </c>
      <c r="I99" s="16" t="s">
        <v>93</v>
      </c>
      <c r="J99" s="17" t="s">
        <v>89</v>
      </c>
      <c r="K99" s="17" t="s">
        <v>90</v>
      </c>
      <c r="L99" s="51" t="s">
        <v>555</v>
      </c>
      <c r="M99" s="18" t="s">
        <v>790</v>
      </c>
      <c r="N99" s="18" t="s">
        <v>790</v>
      </c>
      <c r="O99" s="54">
        <v>500</v>
      </c>
      <c r="P99" s="54">
        <v>220</v>
      </c>
      <c r="Q99" s="54">
        <v>740</v>
      </c>
      <c r="R99" s="20"/>
      <c r="S99" s="21">
        <v>10.5</v>
      </c>
      <c r="T99" s="21">
        <v>14.2</v>
      </c>
      <c r="U99" s="22" t="s">
        <v>93</v>
      </c>
      <c r="V99" s="22">
        <v>330</v>
      </c>
      <c r="W99" s="24"/>
      <c r="X99" s="35">
        <v>800</v>
      </c>
      <c r="Y99" s="35">
        <v>970</v>
      </c>
      <c r="Z99" s="35">
        <v>980</v>
      </c>
      <c r="AA99" s="35">
        <v>700</v>
      </c>
      <c r="AB99" s="35">
        <v>700</v>
      </c>
      <c r="AC99" s="36"/>
      <c r="AD99" s="36"/>
      <c r="AE99" s="22">
        <v>700</v>
      </c>
      <c r="AF99" s="22" t="s">
        <v>93</v>
      </c>
      <c r="AG99" s="22" t="s">
        <v>93</v>
      </c>
      <c r="AH99" s="22" t="s">
        <v>93</v>
      </c>
      <c r="AI99" s="22"/>
      <c r="AJ99" s="54">
        <v>740</v>
      </c>
      <c r="AK99" s="54">
        <v>20.2</v>
      </c>
      <c r="AL99" s="27">
        <v>0</v>
      </c>
      <c r="AM99" s="14" t="s">
        <v>159</v>
      </c>
      <c r="AN99" s="17" t="s">
        <v>93</v>
      </c>
      <c r="AO99" s="55" t="s">
        <v>556</v>
      </c>
      <c r="AP99" s="28" t="s">
        <v>93</v>
      </c>
      <c r="AQ99" s="29" t="str">
        <f t="shared" si="3"/>
        <v>15B(15XDT)</v>
      </c>
      <c r="AR99" s="29" t="str">
        <f t="shared" si="4"/>
        <v>15B</v>
      </c>
    </row>
    <row r="100" spans="1:44" ht="42" customHeight="1">
      <c r="A100" s="1">
        <v>418</v>
      </c>
      <c r="B100" s="51" t="s">
        <v>557</v>
      </c>
      <c r="C100" s="13" t="s">
        <v>884</v>
      </c>
      <c r="D100" s="52" t="s">
        <v>558</v>
      </c>
      <c r="E100" s="32" t="s">
        <v>93</v>
      </c>
      <c r="F100" s="32" t="s">
        <v>93</v>
      </c>
      <c r="G100" s="51" t="s">
        <v>87</v>
      </c>
      <c r="H100" s="53" t="s">
        <v>559</v>
      </c>
      <c r="I100" s="16" t="s">
        <v>93</v>
      </c>
      <c r="J100" s="17" t="s">
        <v>89</v>
      </c>
      <c r="K100" s="17" t="s">
        <v>90</v>
      </c>
      <c r="L100" s="51" t="s">
        <v>560</v>
      </c>
      <c r="M100" s="18" t="s">
        <v>790</v>
      </c>
      <c r="N100" s="18" t="s">
        <v>790</v>
      </c>
      <c r="O100" s="54">
        <v>505</v>
      </c>
      <c r="P100" s="54">
        <v>260</v>
      </c>
      <c r="Q100" s="54">
        <v>1215</v>
      </c>
      <c r="R100" s="20"/>
      <c r="S100" s="21">
        <v>14</v>
      </c>
      <c r="T100" s="21">
        <v>18.899999999999999</v>
      </c>
      <c r="U100" s="22" t="s">
        <v>93</v>
      </c>
      <c r="V100" s="22">
        <v>380</v>
      </c>
      <c r="W100" s="24"/>
      <c r="X100" s="35">
        <v>560</v>
      </c>
      <c r="Y100" s="35">
        <v>980</v>
      </c>
      <c r="Z100" s="35">
        <v>980</v>
      </c>
      <c r="AA100" s="35">
        <v>700</v>
      </c>
      <c r="AB100" s="35">
        <v>700</v>
      </c>
      <c r="AC100" s="36"/>
      <c r="AD100" s="36"/>
      <c r="AE100" s="22">
        <v>1195</v>
      </c>
      <c r="AF100" s="22" t="s">
        <v>93</v>
      </c>
      <c r="AG100" s="22" t="s">
        <v>93</v>
      </c>
      <c r="AH100" s="22" t="s">
        <v>93</v>
      </c>
      <c r="AI100" s="22"/>
      <c r="AJ100" s="54">
        <v>1215</v>
      </c>
      <c r="AK100" s="54">
        <v>35.449999999999996</v>
      </c>
      <c r="AL100" s="27">
        <v>0</v>
      </c>
      <c r="AM100" s="14" t="s">
        <v>152</v>
      </c>
      <c r="AN100" s="17" t="s">
        <v>93</v>
      </c>
      <c r="AO100" s="55" t="s">
        <v>561</v>
      </c>
      <c r="AP100" s="28" t="s">
        <v>93</v>
      </c>
      <c r="AQ100" s="29" t="str">
        <f t="shared" si="3"/>
        <v>15W(15Trắng)</v>
      </c>
      <c r="AR100" s="29" t="str">
        <f t="shared" si="4"/>
        <v>15W</v>
      </c>
    </row>
    <row r="101" spans="1:44" ht="42" customHeight="1">
      <c r="A101" s="1">
        <v>419</v>
      </c>
      <c r="B101" s="51" t="s">
        <v>562</v>
      </c>
      <c r="C101" s="13" t="s">
        <v>885</v>
      </c>
      <c r="D101" s="52" t="s">
        <v>563</v>
      </c>
      <c r="E101" s="32" t="s">
        <v>93</v>
      </c>
      <c r="F101" s="32" t="s">
        <v>93</v>
      </c>
      <c r="G101" s="51" t="s">
        <v>549</v>
      </c>
      <c r="H101" s="53" t="s">
        <v>564</v>
      </c>
      <c r="I101" s="16" t="s">
        <v>93</v>
      </c>
      <c r="J101" s="17" t="s">
        <v>89</v>
      </c>
      <c r="K101" s="17" t="s">
        <v>90</v>
      </c>
      <c r="L101" s="51" t="s">
        <v>565</v>
      </c>
      <c r="M101" s="18" t="s">
        <v>790</v>
      </c>
      <c r="N101" s="18" t="s">
        <v>790</v>
      </c>
      <c r="O101" s="54">
        <v>565</v>
      </c>
      <c r="P101" s="54">
        <v>250</v>
      </c>
      <c r="Q101" s="54">
        <v>1080</v>
      </c>
      <c r="R101" s="20"/>
      <c r="S101" s="21">
        <v>14</v>
      </c>
      <c r="T101" s="21">
        <v>18.899999999999999</v>
      </c>
      <c r="U101" s="22" t="s">
        <v>93</v>
      </c>
      <c r="V101" s="22">
        <v>410</v>
      </c>
      <c r="W101" s="24"/>
      <c r="X101" s="35">
        <v>760</v>
      </c>
      <c r="Y101" s="35">
        <v>970</v>
      </c>
      <c r="Z101" s="35">
        <v>980</v>
      </c>
      <c r="AA101" s="35">
        <v>700</v>
      </c>
      <c r="AB101" s="35">
        <v>700</v>
      </c>
      <c r="AC101" s="36"/>
      <c r="AD101" s="36"/>
      <c r="AE101" s="22">
        <v>1050</v>
      </c>
      <c r="AF101" s="22" t="s">
        <v>93</v>
      </c>
      <c r="AG101" s="22" t="s">
        <v>93</v>
      </c>
      <c r="AH101" s="22" t="s">
        <v>93</v>
      </c>
      <c r="AI101" s="22"/>
      <c r="AJ101" s="54">
        <v>1080</v>
      </c>
      <c r="AK101" s="54">
        <v>30.4</v>
      </c>
      <c r="AL101" s="27">
        <v>0</v>
      </c>
      <c r="AM101" s="14" t="s">
        <v>94</v>
      </c>
      <c r="AN101" s="17" t="s">
        <v>93</v>
      </c>
      <c r="AO101" s="55" t="s">
        <v>566</v>
      </c>
      <c r="AP101" s="28" t="s">
        <v>93</v>
      </c>
      <c r="AQ101" s="29" t="str">
        <f t="shared" si="3"/>
        <v/>
      </c>
      <c r="AR101" s="29" t="str">
        <f t="shared" si="4"/>
        <v/>
      </c>
    </row>
    <row r="102" spans="1:44" ht="42" customHeight="1">
      <c r="A102" s="1">
        <v>420</v>
      </c>
      <c r="B102" s="51" t="s">
        <v>567</v>
      </c>
      <c r="C102" s="13" t="s">
        <v>886</v>
      </c>
      <c r="D102" s="52" t="s">
        <v>568</v>
      </c>
      <c r="E102" s="51" t="s">
        <v>81</v>
      </c>
      <c r="F102" s="51" t="s">
        <v>166</v>
      </c>
      <c r="G102" s="51" t="s">
        <v>93</v>
      </c>
      <c r="H102" s="53" t="s">
        <v>569</v>
      </c>
      <c r="I102" s="16" t="s">
        <v>93</v>
      </c>
      <c r="J102" s="17" t="s">
        <v>89</v>
      </c>
      <c r="K102" s="17" t="s">
        <v>90</v>
      </c>
      <c r="L102" s="51" t="s">
        <v>570</v>
      </c>
      <c r="M102" s="51" t="s">
        <v>263</v>
      </c>
      <c r="N102" s="51" t="s">
        <v>263</v>
      </c>
      <c r="O102" s="54">
        <v>590</v>
      </c>
      <c r="P102" s="54">
        <v>325</v>
      </c>
      <c r="Q102" s="54">
        <v>2345</v>
      </c>
      <c r="R102" s="20"/>
      <c r="S102" s="56">
        <v>22</v>
      </c>
      <c r="T102" s="56">
        <v>30.8</v>
      </c>
      <c r="U102" s="22" t="s">
        <v>93</v>
      </c>
      <c r="V102" s="22">
        <v>330</v>
      </c>
      <c r="W102" s="24"/>
      <c r="X102" s="33">
        <v>720</v>
      </c>
      <c r="Y102" s="33">
        <v>975</v>
      </c>
      <c r="Z102" s="33">
        <v>980</v>
      </c>
      <c r="AA102" s="35">
        <v>700</v>
      </c>
      <c r="AB102" s="33">
        <v>700</v>
      </c>
      <c r="AC102" s="40"/>
      <c r="AD102" s="40"/>
      <c r="AE102" s="22">
        <v>2100</v>
      </c>
      <c r="AF102" s="22" t="s">
        <v>93</v>
      </c>
      <c r="AG102" s="22" t="s">
        <v>93</v>
      </c>
      <c r="AH102" s="22" t="s">
        <v>93</v>
      </c>
      <c r="AI102" s="22"/>
      <c r="AJ102" s="54">
        <v>2345</v>
      </c>
      <c r="AK102" s="54">
        <v>70.349999999999994</v>
      </c>
      <c r="AL102" s="27">
        <v>0</v>
      </c>
      <c r="AM102" s="14" t="s">
        <v>94</v>
      </c>
      <c r="AN102" s="17" t="s">
        <v>93</v>
      </c>
      <c r="AO102" s="57" t="s">
        <v>571</v>
      </c>
      <c r="AP102" s="28" t="s">
        <v>93</v>
      </c>
      <c r="AQ102" s="29" t="str">
        <f t="shared" si="3"/>
        <v/>
      </c>
      <c r="AR102" s="29" t="str">
        <f t="shared" si="4"/>
        <v/>
      </c>
    </row>
    <row r="103" spans="1:44" ht="42" customHeight="1">
      <c r="A103" s="1">
        <v>421</v>
      </c>
      <c r="B103" s="51" t="s">
        <v>572</v>
      </c>
      <c r="C103" s="13" t="s">
        <v>887</v>
      </c>
      <c r="D103" s="52" t="s">
        <v>568</v>
      </c>
      <c r="E103" s="51" t="s">
        <v>81</v>
      </c>
      <c r="F103" s="51" t="s">
        <v>166</v>
      </c>
      <c r="G103" s="51" t="s">
        <v>93</v>
      </c>
      <c r="H103" s="53" t="s">
        <v>573</v>
      </c>
      <c r="I103" s="16" t="s">
        <v>93</v>
      </c>
      <c r="J103" s="17" t="s">
        <v>89</v>
      </c>
      <c r="K103" s="17" t="s">
        <v>90</v>
      </c>
      <c r="L103" s="51" t="s">
        <v>574</v>
      </c>
      <c r="M103" s="18" t="s">
        <v>790</v>
      </c>
      <c r="N103" s="18" t="s">
        <v>790</v>
      </c>
      <c r="O103" s="54">
        <v>585</v>
      </c>
      <c r="P103" s="54">
        <v>320</v>
      </c>
      <c r="Q103" s="54">
        <v>1670</v>
      </c>
      <c r="R103" s="20"/>
      <c r="S103" s="21">
        <v>17</v>
      </c>
      <c r="T103" s="21">
        <v>23.6</v>
      </c>
      <c r="U103" s="22" t="s">
        <v>93</v>
      </c>
      <c r="V103" s="22">
        <v>350</v>
      </c>
      <c r="W103" s="24"/>
      <c r="X103" s="35">
        <v>660</v>
      </c>
      <c r="Y103" s="35">
        <v>970</v>
      </c>
      <c r="Z103" s="35">
        <v>980</v>
      </c>
      <c r="AA103" s="35">
        <v>700</v>
      </c>
      <c r="AB103" s="35">
        <v>700</v>
      </c>
      <c r="AC103" s="36"/>
      <c r="AD103" s="36"/>
      <c r="AE103" s="22">
        <v>1565</v>
      </c>
      <c r="AF103" s="22" t="s">
        <v>93</v>
      </c>
      <c r="AG103" s="22" t="s">
        <v>93</v>
      </c>
      <c r="AH103" s="22" t="s">
        <v>93</v>
      </c>
      <c r="AI103" s="22"/>
      <c r="AJ103" s="54">
        <v>1670</v>
      </c>
      <c r="AK103" s="54">
        <v>50.1</v>
      </c>
      <c r="AL103" s="27">
        <v>0</v>
      </c>
      <c r="AM103" s="14" t="s">
        <v>152</v>
      </c>
      <c r="AN103" s="17" t="s">
        <v>93</v>
      </c>
      <c r="AO103" s="55" t="s">
        <v>575</v>
      </c>
      <c r="AP103" s="28" t="s">
        <v>93</v>
      </c>
      <c r="AQ103" s="29" t="str">
        <f t="shared" si="3"/>
        <v>15W(15Trắng)</v>
      </c>
      <c r="AR103" s="29" t="str">
        <f t="shared" si="4"/>
        <v>15W</v>
      </c>
    </row>
    <row r="104" spans="1:44" ht="42" customHeight="1">
      <c r="A104" s="1">
        <v>422</v>
      </c>
      <c r="B104" s="51" t="s">
        <v>576</v>
      </c>
      <c r="C104" s="13" t="s">
        <v>888</v>
      </c>
      <c r="D104" s="52" t="s">
        <v>577</v>
      </c>
      <c r="E104" s="32" t="s">
        <v>93</v>
      </c>
      <c r="F104" s="32" t="s">
        <v>93</v>
      </c>
      <c r="G104" s="51" t="s">
        <v>549</v>
      </c>
      <c r="H104" s="53" t="s">
        <v>550</v>
      </c>
      <c r="I104" s="16" t="s">
        <v>93</v>
      </c>
      <c r="J104" s="17" t="s">
        <v>89</v>
      </c>
      <c r="K104" s="17" t="s">
        <v>90</v>
      </c>
      <c r="L104" s="51" t="s">
        <v>578</v>
      </c>
      <c r="M104" s="51" t="s">
        <v>103</v>
      </c>
      <c r="N104" s="51" t="s">
        <v>103</v>
      </c>
      <c r="O104" s="54">
        <v>660</v>
      </c>
      <c r="P104" s="54">
        <v>276</v>
      </c>
      <c r="Q104" s="54">
        <v>2640</v>
      </c>
      <c r="R104" s="20"/>
      <c r="S104" s="21">
        <v>29.3</v>
      </c>
      <c r="T104" s="21">
        <v>40.200000000000003</v>
      </c>
      <c r="U104" s="22" t="s">
        <v>93</v>
      </c>
      <c r="V104" s="22">
        <v>340</v>
      </c>
      <c r="W104" s="24"/>
      <c r="X104" s="35">
        <v>760</v>
      </c>
      <c r="Y104" s="35">
        <v>970</v>
      </c>
      <c r="Z104" s="35">
        <v>980</v>
      </c>
      <c r="AA104" s="35">
        <v>700</v>
      </c>
      <c r="AB104" s="35">
        <v>800</v>
      </c>
      <c r="AC104" s="36"/>
      <c r="AD104" s="36"/>
      <c r="AE104" s="22">
        <v>2520</v>
      </c>
      <c r="AF104" s="22" t="s">
        <v>93</v>
      </c>
      <c r="AG104" s="22" t="s">
        <v>93</v>
      </c>
      <c r="AH104" s="22" t="s">
        <v>93</v>
      </c>
      <c r="AI104" s="22"/>
      <c r="AJ104" s="54">
        <v>2640</v>
      </c>
      <c r="AK104" s="19">
        <v>80.2</v>
      </c>
      <c r="AL104" s="27">
        <v>0</v>
      </c>
      <c r="AM104" s="14" t="s">
        <v>94</v>
      </c>
      <c r="AN104" s="17" t="s">
        <v>93</v>
      </c>
      <c r="AO104" s="55" t="s">
        <v>579</v>
      </c>
      <c r="AP104" s="28" t="s">
        <v>93</v>
      </c>
      <c r="AQ104" s="29" t="str">
        <f t="shared" si="3"/>
        <v/>
      </c>
      <c r="AR104" s="29" t="str">
        <f t="shared" si="4"/>
        <v/>
      </c>
    </row>
    <row r="105" spans="1:44" ht="42" customHeight="1">
      <c r="A105" s="1">
        <v>423</v>
      </c>
      <c r="B105" s="51" t="s">
        <v>580</v>
      </c>
      <c r="C105" s="13" t="s">
        <v>889</v>
      </c>
      <c r="D105" s="52" t="s">
        <v>581</v>
      </c>
      <c r="E105" s="32" t="s">
        <v>93</v>
      </c>
      <c r="F105" s="32" t="s">
        <v>93</v>
      </c>
      <c r="G105" s="51" t="s">
        <v>87</v>
      </c>
      <c r="H105" s="53" t="s">
        <v>582</v>
      </c>
      <c r="I105" s="16" t="s">
        <v>93</v>
      </c>
      <c r="J105" s="17" t="s">
        <v>89</v>
      </c>
      <c r="K105" s="17" t="s">
        <v>90</v>
      </c>
      <c r="L105" s="51" t="s">
        <v>583</v>
      </c>
      <c r="M105" s="18" t="s">
        <v>790</v>
      </c>
      <c r="N105" s="18" t="s">
        <v>790</v>
      </c>
      <c r="O105" s="54">
        <v>760</v>
      </c>
      <c r="P105" s="54">
        <v>280</v>
      </c>
      <c r="Q105" s="54">
        <v>2760</v>
      </c>
      <c r="R105" s="20"/>
      <c r="S105" s="21">
        <v>15.5</v>
      </c>
      <c r="T105" s="21">
        <v>21.1</v>
      </c>
      <c r="U105" s="22" t="s">
        <v>93</v>
      </c>
      <c r="V105" s="22">
        <v>260</v>
      </c>
      <c r="W105" s="24"/>
      <c r="X105" s="35">
        <v>650</v>
      </c>
      <c r="Y105" s="35">
        <v>960</v>
      </c>
      <c r="Z105" s="35">
        <v>990</v>
      </c>
      <c r="AA105" s="35">
        <v>700</v>
      </c>
      <c r="AB105" s="35">
        <v>700</v>
      </c>
      <c r="AC105" s="36"/>
      <c r="AD105" s="36"/>
      <c r="AE105" s="22">
        <v>2620</v>
      </c>
      <c r="AF105" s="22" t="s">
        <v>93</v>
      </c>
      <c r="AG105" s="22" t="s">
        <v>93</v>
      </c>
      <c r="AH105" s="22" t="s">
        <v>93</v>
      </c>
      <c r="AI105" s="22"/>
      <c r="AJ105" s="54">
        <v>2760</v>
      </c>
      <c r="AK105" s="54">
        <v>84.8</v>
      </c>
      <c r="AL105" s="27">
        <v>0</v>
      </c>
      <c r="AM105" s="14" t="s">
        <v>94</v>
      </c>
      <c r="AN105" s="17" t="s">
        <v>93</v>
      </c>
      <c r="AO105" s="55" t="s">
        <v>584</v>
      </c>
      <c r="AP105" s="28" t="s">
        <v>93</v>
      </c>
      <c r="AQ105" s="29" t="str">
        <f t="shared" si="3"/>
        <v/>
      </c>
      <c r="AR105" s="29" t="str">
        <f t="shared" si="4"/>
        <v/>
      </c>
    </row>
    <row r="106" spans="1:44" ht="42" customHeight="1">
      <c r="A106" s="1">
        <v>424</v>
      </c>
      <c r="B106" s="51" t="s">
        <v>585</v>
      </c>
      <c r="C106" s="13" t="s">
        <v>585</v>
      </c>
      <c r="D106" s="52" t="s">
        <v>581</v>
      </c>
      <c r="E106" s="32" t="s">
        <v>93</v>
      </c>
      <c r="F106" s="32" t="s">
        <v>93</v>
      </c>
      <c r="G106" s="51" t="s">
        <v>87</v>
      </c>
      <c r="H106" s="53" t="s">
        <v>586</v>
      </c>
      <c r="I106" s="16" t="s">
        <v>93</v>
      </c>
      <c r="J106" s="17" t="s">
        <v>89</v>
      </c>
      <c r="K106" s="17" t="s">
        <v>90</v>
      </c>
      <c r="L106" s="51" t="s">
        <v>587</v>
      </c>
      <c r="M106" s="18" t="s">
        <v>790</v>
      </c>
      <c r="N106" s="18" t="s">
        <v>790</v>
      </c>
      <c r="O106" s="54">
        <v>725</v>
      </c>
      <c r="P106" s="54">
        <v>290</v>
      </c>
      <c r="Q106" s="54">
        <v>1340</v>
      </c>
      <c r="R106" s="20"/>
      <c r="S106" s="21">
        <v>17.5</v>
      </c>
      <c r="T106" s="21">
        <v>23.7</v>
      </c>
      <c r="U106" s="22" t="s">
        <v>93</v>
      </c>
      <c r="V106" s="22">
        <v>480</v>
      </c>
      <c r="W106" s="24"/>
      <c r="X106" s="35">
        <v>760</v>
      </c>
      <c r="Y106" s="35">
        <v>970</v>
      </c>
      <c r="Z106" s="35">
        <v>970</v>
      </c>
      <c r="AA106" s="35">
        <v>700</v>
      </c>
      <c r="AB106" s="35">
        <v>700</v>
      </c>
      <c r="AC106" s="36"/>
      <c r="AD106" s="36"/>
      <c r="AE106" s="22">
        <v>1260</v>
      </c>
      <c r="AF106" s="22" t="s">
        <v>93</v>
      </c>
      <c r="AG106" s="22" t="s">
        <v>93</v>
      </c>
      <c r="AH106" s="22" t="s">
        <v>93</v>
      </c>
      <c r="AI106" s="22"/>
      <c r="AJ106" s="54">
        <v>1340</v>
      </c>
      <c r="AK106" s="54">
        <v>40.199999999999996</v>
      </c>
      <c r="AL106" s="27">
        <v>0</v>
      </c>
      <c r="AM106" s="14" t="s">
        <v>588</v>
      </c>
      <c r="AN106" s="17" t="s">
        <v>93</v>
      </c>
      <c r="AO106" s="55" t="s">
        <v>589</v>
      </c>
      <c r="AP106" s="28" t="s">
        <v>93</v>
      </c>
      <c r="AQ106" s="29" t="str">
        <f t="shared" si="3"/>
        <v>20G(20Xanhlácây)</v>
      </c>
      <c r="AR106" s="29" t="str">
        <f t="shared" si="4"/>
        <v>20G</v>
      </c>
    </row>
    <row r="107" spans="1:44" ht="42" customHeight="1">
      <c r="A107" s="1">
        <v>425</v>
      </c>
      <c r="B107" s="51" t="s">
        <v>590</v>
      </c>
      <c r="C107" s="13" t="s">
        <v>590</v>
      </c>
      <c r="D107" s="52" t="s">
        <v>591</v>
      </c>
      <c r="E107" s="32" t="s">
        <v>93</v>
      </c>
      <c r="F107" s="32" t="s">
        <v>93</v>
      </c>
      <c r="G107" s="51" t="s">
        <v>116</v>
      </c>
      <c r="H107" s="53" t="s">
        <v>515</v>
      </c>
      <c r="I107" s="16" t="s">
        <v>93</v>
      </c>
      <c r="J107" s="17" t="s">
        <v>89</v>
      </c>
      <c r="K107" s="17" t="s">
        <v>90</v>
      </c>
      <c r="L107" s="51" t="s">
        <v>592</v>
      </c>
      <c r="M107" s="18" t="s">
        <v>790</v>
      </c>
      <c r="N107" s="18" t="s">
        <v>790</v>
      </c>
      <c r="O107" s="54">
        <v>830</v>
      </c>
      <c r="P107" s="54">
        <v>340</v>
      </c>
      <c r="Q107" s="54">
        <v>2750</v>
      </c>
      <c r="R107" s="20"/>
      <c r="S107" s="21">
        <v>18</v>
      </c>
      <c r="T107" s="21">
        <v>24.3</v>
      </c>
      <c r="U107" s="22" t="s">
        <v>93</v>
      </c>
      <c r="V107" s="22">
        <v>390</v>
      </c>
      <c r="W107" s="24"/>
      <c r="X107" s="35">
        <v>540</v>
      </c>
      <c r="Y107" s="35">
        <v>960</v>
      </c>
      <c r="Z107" s="35">
        <v>980</v>
      </c>
      <c r="AA107" s="35">
        <v>700</v>
      </c>
      <c r="AB107" s="35">
        <v>700</v>
      </c>
      <c r="AC107" s="36"/>
      <c r="AD107" s="36"/>
      <c r="AE107" s="22">
        <v>2550</v>
      </c>
      <c r="AF107" s="22" t="s">
        <v>93</v>
      </c>
      <c r="AG107" s="22" t="s">
        <v>93</v>
      </c>
      <c r="AH107" s="22" t="s">
        <v>93</v>
      </c>
      <c r="AI107" s="22"/>
      <c r="AJ107" s="54">
        <v>2750</v>
      </c>
      <c r="AK107" s="54">
        <v>84.5</v>
      </c>
      <c r="AL107" s="27">
        <v>0</v>
      </c>
      <c r="AM107" s="14" t="s">
        <v>94</v>
      </c>
      <c r="AN107" s="17" t="s">
        <v>93</v>
      </c>
      <c r="AO107" s="55" t="s">
        <v>593</v>
      </c>
      <c r="AP107" s="28" t="s">
        <v>93</v>
      </c>
      <c r="AQ107" s="29" t="str">
        <f t="shared" si="3"/>
        <v/>
      </c>
      <c r="AR107" s="29" t="str">
        <f t="shared" si="4"/>
        <v/>
      </c>
    </row>
    <row r="108" spans="1:44" ht="42" customHeight="1">
      <c r="A108" s="1">
        <v>426</v>
      </c>
      <c r="B108" s="51" t="s">
        <v>594</v>
      </c>
      <c r="C108" s="13" t="s">
        <v>594</v>
      </c>
      <c r="D108" s="52" t="s">
        <v>595</v>
      </c>
      <c r="E108" s="32" t="s">
        <v>93</v>
      </c>
      <c r="F108" s="32" t="s">
        <v>93</v>
      </c>
      <c r="G108" s="51" t="s">
        <v>116</v>
      </c>
      <c r="H108" s="53" t="s">
        <v>515</v>
      </c>
      <c r="I108" s="16" t="s">
        <v>93</v>
      </c>
      <c r="J108" s="17" t="s">
        <v>89</v>
      </c>
      <c r="K108" s="17" t="s">
        <v>90</v>
      </c>
      <c r="L108" s="51" t="s">
        <v>596</v>
      </c>
      <c r="M108" s="18" t="s">
        <v>790</v>
      </c>
      <c r="N108" s="18" t="s">
        <v>790</v>
      </c>
      <c r="O108" s="54">
        <v>830</v>
      </c>
      <c r="P108" s="54">
        <v>405</v>
      </c>
      <c r="Q108" s="54">
        <v>3645</v>
      </c>
      <c r="R108" s="20"/>
      <c r="S108" s="56">
        <v>20</v>
      </c>
      <c r="T108" s="56">
        <v>26.5</v>
      </c>
      <c r="U108" s="22" t="s">
        <v>93</v>
      </c>
      <c r="V108" s="54">
        <v>200</v>
      </c>
      <c r="W108" s="24"/>
      <c r="X108" s="51" t="s">
        <v>597</v>
      </c>
      <c r="Y108" s="51" t="s">
        <v>598</v>
      </c>
      <c r="Z108" s="51" t="s">
        <v>599</v>
      </c>
      <c r="AA108" s="35">
        <v>700</v>
      </c>
      <c r="AB108" s="51" t="s">
        <v>291</v>
      </c>
      <c r="AC108" s="58"/>
      <c r="AD108" s="58"/>
      <c r="AE108" s="54">
        <v>3590</v>
      </c>
      <c r="AF108" s="22" t="s">
        <v>93</v>
      </c>
      <c r="AG108" s="22" t="s">
        <v>93</v>
      </c>
      <c r="AH108" s="22" t="s">
        <v>93</v>
      </c>
      <c r="AI108" s="22"/>
      <c r="AJ108" s="54">
        <v>3645</v>
      </c>
      <c r="AK108" s="54">
        <v>110.35</v>
      </c>
      <c r="AL108" s="27">
        <v>0</v>
      </c>
      <c r="AM108" s="14" t="s">
        <v>94</v>
      </c>
      <c r="AN108" s="17" t="s">
        <v>93</v>
      </c>
      <c r="AO108" s="55" t="s">
        <v>600</v>
      </c>
      <c r="AP108" s="28" t="s">
        <v>93</v>
      </c>
      <c r="AQ108" s="29" t="str">
        <f t="shared" si="3"/>
        <v/>
      </c>
      <c r="AR108" s="29" t="str">
        <f t="shared" si="4"/>
        <v/>
      </c>
    </row>
    <row r="109" spans="1:44" ht="42" customHeight="1">
      <c r="A109" s="1">
        <v>427</v>
      </c>
      <c r="B109" s="51" t="s">
        <v>601</v>
      </c>
      <c r="C109" s="13" t="s">
        <v>601</v>
      </c>
      <c r="D109" s="52" t="s">
        <v>602</v>
      </c>
      <c r="E109" s="32" t="s">
        <v>93</v>
      </c>
      <c r="F109" s="32" t="s">
        <v>93</v>
      </c>
      <c r="G109" s="51" t="s">
        <v>87</v>
      </c>
      <c r="H109" s="53" t="s">
        <v>603</v>
      </c>
      <c r="I109" s="16" t="s">
        <v>93</v>
      </c>
      <c r="J109" s="17" t="s">
        <v>192</v>
      </c>
      <c r="K109" s="51" t="s">
        <v>193</v>
      </c>
      <c r="L109" s="51" t="s">
        <v>604</v>
      </c>
      <c r="M109" s="51" t="s">
        <v>507</v>
      </c>
      <c r="N109" s="51" t="s">
        <v>507</v>
      </c>
      <c r="O109" s="54">
        <v>860</v>
      </c>
      <c r="P109" s="54">
        <v>170</v>
      </c>
      <c r="Q109" s="54">
        <v>630</v>
      </c>
      <c r="R109" s="20"/>
      <c r="S109" s="21" t="s">
        <v>93</v>
      </c>
      <c r="T109" s="21" t="s">
        <v>93</v>
      </c>
      <c r="U109" s="22" t="s">
        <v>93</v>
      </c>
      <c r="V109" s="22" t="s">
        <v>93</v>
      </c>
      <c r="W109" s="24"/>
      <c r="X109" s="35" t="s">
        <v>93</v>
      </c>
      <c r="Y109" s="35" t="s">
        <v>93</v>
      </c>
      <c r="Z109" s="35" t="s">
        <v>93</v>
      </c>
      <c r="AA109" s="35" t="s">
        <v>93</v>
      </c>
      <c r="AB109" s="35" t="s">
        <v>93</v>
      </c>
      <c r="AC109" s="36"/>
      <c r="AD109" s="36"/>
      <c r="AE109" s="22" t="s">
        <v>93</v>
      </c>
      <c r="AF109" s="22" t="s">
        <v>93</v>
      </c>
      <c r="AG109" s="22" t="s">
        <v>93</v>
      </c>
      <c r="AH109" s="22" t="s">
        <v>93</v>
      </c>
      <c r="AI109" s="22"/>
      <c r="AJ109" s="54">
        <v>630</v>
      </c>
      <c r="AK109" s="54">
        <v>19.899999999999999</v>
      </c>
      <c r="AL109" s="27">
        <v>0</v>
      </c>
      <c r="AM109" s="14" t="s">
        <v>94</v>
      </c>
      <c r="AN109" s="17" t="s">
        <v>93</v>
      </c>
      <c r="AO109" s="55" t="s">
        <v>605</v>
      </c>
      <c r="AP109" s="28" t="s">
        <v>93</v>
      </c>
      <c r="AQ109" s="29" t="str">
        <f t="shared" si="3"/>
        <v/>
      </c>
      <c r="AR109" s="29" t="str">
        <f t="shared" si="4"/>
        <v/>
      </c>
    </row>
    <row r="110" spans="1:44" ht="42" customHeight="1">
      <c r="A110" s="1">
        <v>428</v>
      </c>
      <c r="B110" s="51" t="s">
        <v>606</v>
      </c>
      <c r="C110" s="13" t="s">
        <v>606</v>
      </c>
      <c r="D110" s="52" t="s">
        <v>602</v>
      </c>
      <c r="E110" s="32" t="s">
        <v>93</v>
      </c>
      <c r="F110" s="32" t="s">
        <v>93</v>
      </c>
      <c r="G110" s="51" t="s">
        <v>87</v>
      </c>
      <c r="H110" s="53" t="s">
        <v>607</v>
      </c>
      <c r="I110" s="16" t="s">
        <v>93</v>
      </c>
      <c r="J110" s="17" t="s">
        <v>192</v>
      </c>
      <c r="K110" s="51" t="s">
        <v>193</v>
      </c>
      <c r="L110" s="51" t="s">
        <v>608</v>
      </c>
      <c r="M110" s="51" t="s">
        <v>507</v>
      </c>
      <c r="N110" s="51" t="s">
        <v>507</v>
      </c>
      <c r="O110" s="54">
        <v>860</v>
      </c>
      <c r="P110" s="54">
        <v>170</v>
      </c>
      <c r="Q110" s="54">
        <v>915</v>
      </c>
      <c r="R110" s="20"/>
      <c r="S110" s="21">
        <v>13</v>
      </c>
      <c r="T110" s="21">
        <v>15.6</v>
      </c>
      <c r="U110" s="22" t="s">
        <v>93</v>
      </c>
      <c r="V110" s="22">
        <v>720</v>
      </c>
      <c r="W110" s="24"/>
      <c r="X110" s="35">
        <v>690</v>
      </c>
      <c r="Y110" s="35">
        <v>850</v>
      </c>
      <c r="Z110" s="35">
        <v>990</v>
      </c>
      <c r="AA110" s="35">
        <v>700</v>
      </c>
      <c r="AB110" s="35">
        <v>700</v>
      </c>
      <c r="AC110" s="36"/>
      <c r="AD110" s="36"/>
      <c r="AE110" s="22" t="s">
        <v>93</v>
      </c>
      <c r="AF110" s="22" t="s">
        <v>93</v>
      </c>
      <c r="AG110" s="22" t="s">
        <v>93</v>
      </c>
      <c r="AH110" s="22" t="s">
        <v>93</v>
      </c>
      <c r="AI110" s="22"/>
      <c r="AJ110" s="54">
        <v>915</v>
      </c>
      <c r="AK110" s="54">
        <v>27.45</v>
      </c>
      <c r="AL110" s="27">
        <v>0</v>
      </c>
      <c r="AM110" s="14" t="s">
        <v>94</v>
      </c>
      <c r="AN110" s="17" t="s">
        <v>93</v>
      </c>
      <c r="AO110" s="55" t="s">
        <v>609</v>
      </c>
      <c r="AP110" s="28" t="s">
        <v>93</v>
      </c>
      <c r="AQ110" s="29" t="str">
        <f t="shared" si="3"/>
        <v/>
      </c>
      <c r="AR110" s="29" t="str">
        <f t="shared" si="4"/>
        <v/>
      </c>
    </row>
    <row r="111" spans="1:44" ht="42" customHeight="1">
      <c r="A111" s="1">
        <v>429</v>
      </c>
      <c r="B111" s="12" t="s">
        <v>610</v>
      </c>
      <c r="C111" s="13" t="s">
        <v>890</v>
      </c>
      <c r="D111" s="14" t="s">
        <v>321</v>
      </c>
      <c r="E111" s="15">
        <v>45</v>
      </c>
      <c r="F111" s="15" t="s">
        <v>150</v>
      </c>
      <c r="G111" s="32" t="s">
        <v>93</v>
      </c>
      <c r="H111" s="14" t="s">
        <v>245</v>
      </c>
      <c r="I111" s="16" t="s">
        <v>30</v>
      </c>
      <c r="J111" s="17" t="s">
        <v>89</v>
      </c>
      <c r="K111" s="17" t="s">
        <v>90</v>
      </c>
      <c r="L111" s="17" t="s">
        <v>611</v>
      </c>
      <c r="M111" s="18" t="s">
        <v>790</v>
      </c>
      <c r="N111" s="18" t="s">
        <v>790</v>
      </c>
      <c r="O111" s="18">
        <v>1375</v>
      </c>
      <c r="P111" s="18">
        <v>182</v>
      </c>
      <c r="Q111" s="19">
        <v>2040</v>
      </c>
      <c r="R111" s="20"/>
      <c r="S111" s="21">
        <v>24.5</v>
      </c>
      <c r="T111" s="21">
        <v>32.6</v>
      </c>
      <c r="U111" s="22" t="s">
        <v>93</v>
      </c>
      <c r="V111" s="23">
        <v>780</v>
      </c>
      <c r="W111" s="24"/>
      <c r="X111" s="25">
        <v>740</v>
      </c>
      <c r="Y111" s="25">
        <v>965</v>
      </c>
      <c r="Z111" s="25">
        <v>980</v>
      </c>
      <c r="AA111" s="35">
        <v>700</v>
      </c>
      <c r="AB111" s="25">
        <v>700</v>
      </c>
      <c r="AC111" s="26"/>
      <c r="AD111" s="26"/>
      <c r="AE111" s="22">
        <v>2060</v>
      </c>
      <c r="AF111" s="17" t="s">
        <v>93</v>
      </c>
      <c r="AG111" s="17" t="s">
        <v>93</v>
      </c>
      <c r="AH111" s="17" t="s">
        <v>93</v>
      </c>
      <c r="AI111" s="17"/>
      <c r="AJ111" s="19">
        <v>2040</v>
      </c>
      <c r="AK111" s="19">
        <v>60.199999999999996</v>
      </c>
      <c r="AL111" s="27">
        <v>0</v>
      </c>
      <c r="AM111" s="14" t="s">
        <v>612</v>
      </c>
      <c r="AN111" s="17" t="s">
        <v>93</v>
      </c>
      <c r="AO111" s="5" t="s">
        <v>613</v>
      </c>
      <c r="AP111" s="28" t="s">
        <v>93</v>
      </c>
      <c r="AQ111" s="29" t="str">
        <f t="shared" si="3"/>
        <v>15R20W10W(15Đỏ20Trắng10Trắng)</v>
      </c>
      <c r="AR111" s="29" t="str">
        <f t="shared" si="4"/>
        <v>15R20W10W</v>
      </c>
    </row>
    <row r="112" spans="1:44" ht="42" customHeight="1">
      <c r="A112" s="1">
        <v>430</v>
      </c>
      <c r="B112" s="33" t="s">
        <v>614</v>
      </c>
      <c r="C112" s="13" t="s">
        <v>891</v>
      </c>
      <c r="D112" s="59" t="s">
        <v>499</v>
      </c>
      <c r="E112" s="33">
        <v>58</v>
      </c>
      <c r="F112" s="51" t="s">
        <v>150</v>
      </c>
      <c r="G112" s="32" t="s">
        <v>93</v>
      </c>
      <c r="H112" s="60" t="s">
        <v>245</v>
      </c>
      <c r="I112" s="16" t="s">
        <v>30</v>
      </c>
      <c r="J112" s="51" t="s">
        <v>89</v>
      </c>
      <c r="K112" s="51" t="s">
        <v>90</v>
      </c>
      <c r="L112" s="51" t="s">
        <v>615</v>
      </c>
      <c r="M112" s="18" t="s">
        <v>790</v>
      </c>
      <c r="N112" s="18" t="s">
        <v>790</v>
      </c>
      <c r="O112" s="33">
        <v>1460</v>
      </c>
      <c r="P112" s="33">
        <v>240</v>
      </c>
      <c r="Q112" s="61">
        <v>2690</v>
      </c>
      <c r="R112" s="20"/>
      <c r="S112" s="56">
        <v>26</v>
      </c>
      <c r="T112" s="56">
        <v>23.5</v>
      </c>
      <c r="U112" s="33" t="s">
        <v>93</v>
      </c>
      <c r="V112" s="33">
        <v>470</v>
      </c>
      <c r="W112" s="24"/>
      <c r="X112" s="33">
        <v>860</v>
      </c>
      <c r="Y112" s="33">
        <v>970</v>
      </c>
      <c r="Z112" s="33">
        <v>970</v>
      </c>
      <c r="AA112" s="35">
        <v>700</v>
      </c>
      <c r="AB112" s="33">
        <v>700</v>
      </c>
      <c r="AC112" s="40"/>
      <c r="AD112" s="40"/>
      <c r="AE112" s="33" t="s">
        <v>93</v>
      </c>
      <c r="AF112" s="33" t="s">
        <v>93</v>
      </c>
      <c r="AG112" s="33" t="s">
        <v>93</v>
      </c>
      <c r="AH112" s="33" t="s">
        <v>93</v>
      </c>
      <c r="AI112" s="33"/>
      <c r="AJ112" s="61">
        <v>2690</v>
      </c>
      <c r="AK112" s="61">
        <v>79.7</v>
      </c>
      <c r="AL112" s="27">
        <v>0</v>
      </c>
      <c r="AM112" s="37" t="s">
        <v>612</v>
      </c>
      <c r="AN112" s="17" t="s">
        <v>93</v>
      </c>
      <c r="AO112" s="55" t="s">
        <v>616</v>
      </c>
      <c r="AP112" s="37"/>
      <c r="AQ112" s="29" t="str">
        <f t="shared" si="3"/>
        <v>15R20W10W(15Đỏ20Trắng10Trắng)</v>
      </c>
      <c r="AR112" s="29" t="str">
        <f t="shared" si="4"/>
        <v>15R20W10W</v>
      </c>
    </row>
    <row r="113" spans="1:44" ht="42" customHeight="1">
      <c r="A113" s="1">
        <v>431</v>
      </c>
      <c r="B113" s="35" t="s">
        <v>617</v>
      </c>
      <c r="C113" s="13" t="s">
        <v>892</v>
      </c>
      <c r="D113" s="59" t="s">
        <v>327</v>
      </c>
      <c r="E113" s="33">
        <v>36</v>
      </c>
      <c r="F113" s="51" t="s">
        <v>150</v>
      </c>
      <c r="G113" s="32" t="s">
        <v>93</v>
      </c>
      <c r="H113" s="60" t="s">
        <v>245</v>
      </c>
      <c r="I113" s="16" t="s">
        <v>30</v>
      </c>
      <c r="J113" s="51" t="s">
        <v>89</v>
      </c>
      <c r="K113" s="51" t="s">
        <v>90</v>
      </c>
      <c r="L113" s="51" t="s">
        <v>334</v>
      </c>
      <c r="M113" s="18" t="s">
        <v>790</v>
      </c>
      <c r="N113" s="18" t="s">
        <v>790</v>
      </c>
      <c r="O113" s="33">
        <v>1375</v>
      </c>
      <c r="P113" s="33">
        <v>162</v>
      </c>
      <c r="Q113" s="61">
        <v>1325</v>
      </c>
      <c r="R113" s="20"/>
      <c r="S113" s="21">
        <v>18.3</v>
      </c>
      <c r="T113" s="21">
        <v>24.9</v>
      </c>
      <c r="U113" s="33" t="s">
        <v>93</v>
      </c>
      <c r="V113" s="33">
        <v>700</v>
      </c>
      <c r="W113" s="24"/>
      <c r="X113" s="33">
        <v>860</v>
      </c>
      <c r="Y113" s="33">
        <v>940</v>
      </c>
      <c r="Z113" s="33">
        <v>980</v>
      </c>
      <c r="AA113" s="35">
        <v>700</v>
      </c>
      <c r="AB113" s="33">
        <v>700</v>
      </c>
      <c r="AC113" s="40"/>
      <c r="AD113" s="40"/>
      <c r="AE113" s="54">
        <v>1220</v>
      </c>
      <c r="AF113" s="33" t="s">
        <v>93</v>
      </c>
      <c r="AG113" s="33" t="s">
        <v>93</v>
      </c>
      <c r="AH113" s="33" t="s">
        <v>93</v>
      </c>
      <c r="AI113" s="33"/>
      <c r="AJ113" s="61">
        <v>1325</v>
      </c>
      <c r="AK113" s="61">
        <v>39.75</v>
      </c>
      <c r="AL113" s="27">
        <v>0</v>
      </c>
      <c r="AM113" s="37" t="s">
        <v>618</v>
      </c>
      <c r="AN113" s="17" t="s">
        <v>93</v>
      </c>
      <c r="AO113" s="55" t="s">
        <v>619</v>
      </c>
      <c r="AP113" s="37" t="s">
        <v>620</v>
      </c>
      <c r="AQ113" s="29" t="str">
        <f t="shared" si="3"/>
        <v>15B20W10W(15XDT20Trắng10Trắng)</v>
      </c>
      <c r="AR113" s="29" t="str">
        <f t="shared" si="4"/>
        <v>15B20W10W</v>
      </c>
    </row>
    <row r="114" spans="1:44" ht="42" customHeight="1">
      <c r="A114" s="1">
        <v>432</v>
      </c>
      <c r="B114" s="12" t="s">
        <v>621</v>
      </c>
      <c r="C114" s="13" t="s">
        <v>893</v>
      </c>
      <c r="D114" s="59" t="s">
        <v>340</v>
      </c>
      <c r="E114" s="33">
        <v>48</v>
      </c>
      <c r="F114" s="51" t="s">
        <v>150</v>
      </c>
      <c r="G114" s="32" t="s">
        <v>93</v>
      </c>
      <c r="H114" s="60" t="s">
        <v>245</v>
      </c>
      <c r="I114" s="16" t="s">
        <v>30</v>
      </c>
      <c r="J114" s="51" t="s">
        <v>89</v>
      </c>
      <c r="K114" s="51" t="s">
        <v>90</v>
      </c>
      <c r="L114" s="51" t="s">
        <v>345</v>
      </c>
      <c r="M114" s="18" t="s">
        <v>790</v>
      </c>
      <c r="N114" s="18" t="s">
        <v>790</v>
      </c>
      <c r="O114" s="33">
        <v>1375</v>
      </c>
      <c r="P114" s="33">
        <v>190</v>
      </c>
      <c r="Q114" s="61">
        <v>1580</v>
      </c>
      <c r="R114" s="20"/>
      <c r="S114" s="21">
        <v>22</v>
      </c>
      <c r="T114" s="21">
        <v>34</v>
      </c>
      <c r="U114" s="33" t="s">
        <v>93</v>
      </c>
      <c r="V114" s="33">
        <v>900</v>
      </c>
      <c r="W114" s="24"/>
      <c r="X114" s="33">
        <v>760</v>
      </c>
      <c r="Y114" s="33">
        <v>970</v>
      </c>
      <c r="Z114" s="33">
        <v>980</v>
      </c>
      <c r="AA114" s="35">
        <v>700</v>
      </c>
      <c r="AB114" s="33">
        <v>700</v>
      </c>
      <c r="AC114" s="40"/>
      <c r="AD114" s="40"/>
      <c r="AE114" s="54">
        <v>1570</v>
      </c>
      <c r="AF114" s="33" t="s">
        <v>93</v>
      </c>
      <c r="AG114" s="33" t="s">
        <v>93</v>
      </c>
      <c r="AH114" s="33" t="s">
        <v>93</v>
      </c>
      <c r="AI114" s="33"/>
      <c r="AJ114" s="61">
        <v>1580</v>
      </c>
      <c r="AK114" s="61">
        <v>45.4</v>
      </c>
      <c r="AL114" s="27">
        <v>0</v>
      </c>
      <c r="AM114" s="37" t="s">
        <v>622</v>
      </c>
      <c r="AN114" s="17" t="s">
        <v>93</v>
      </c>
      <c r="AO114" s="55" t="s">
        <v>623</v>
      </c>
      <c r="AP114" s="37" t="s">
        <v>620</v>
      </c>
      <c r="AQ114" s="29" t="str">
        <f t="shared" si="3"/>
        <v>15V20B10B(15Tím20XDT10XDT)</v>
      </c>
      <c r="AR114" s="29" t="str">
        <f t="shared" si="4"/>
        <v>15V20B10B</v>
      </c>
    </row>
    <row r="115" spans="1:44" ht="42" customHeight="1">
      <c r="A115" s="1">
        <v>433</v>
      </c>
      <c r="B115" s="12" t="s">
        <v>624</v>
      </c>
      <c r="C115" s="13" t="s">
        <v>894</v>
      </c>
      <c r="D115" s="14" t="s">
        <v>378</v>
      </c>
      <c r="E115" s="15">
        <v>38</v>
      </c>
      <c r="F115" s="15" t="s">
        <v>150</v>
      </c>
      <c r="G115" s="32" t="s">
        <v>93</v>
      </c>
      <c r="H115" s="14" t="s">
        <v>245</v>
      </c>
      <c r="I115" s="16" t="s">
        <v>30</v>
      </c>
      <c r="J115" s="17" t="s">
        <v>89</v>
      </c>
      <c r="K115" s="17" t="s">
        <v>90</v>
      </c>
      <c r="L115" s="17" t="s">
        <v>414</v>
      </c>
      <c r="M115" s="18" t="s">
        <v>790</v>
      </c>
      <c r="N115" s="18" t="s">
        <v>790</v>
      </c>
      <c r="O115" s="18">
        <v>1435</v>
      </c>
      <c r="P115" s="18">
        <v>154</v>
      </c>
      <c r="Q115" s="19">
        <v>1050</v>
      </c>
      <c r="R115" s="20"/>
      <c r="S115" s="21">
        <v>15.4</v>
      </c>
      <c r="T115" s="21">
        <v>23.4</v>
      </c>
      <c r="U115" s="22" t="s">
        <v>93</v>
      </c>
      <c r="V115" s="23">
        <v>930</v>
      </c>
      <c r="W115" s="24"/>
      <c r="X115" s="25">
        <v>760</v>
      </c>
      <c r="Y115" s="25">
        <v>940</v>
      </c>
      <c r="Z115" s="25">
        <v>980</v>
      </c>
      <c r="AA115" s="35">
        <v>700</v>
      </c>
      <c r="AB115" s="25">
        <v>700</v>
      </c>
      <c r="AC115" s="26"/>
      <c r="AD115" s="26"/>
      <c r="AE115" s="22">
        <v>1030</v>
      </c>
      <c r="AF115" s="17" t="s">
        <v>93</v>
      </c>
      <c r="AG115" s="17" t="s">
        <v>93</v>
      </c>
      <c r="AH115" s="17" t="s">
        <v>93</v>
      </c>
      <c r="AI115" s="17"/>
      <c r="AJ115" s="19">
        <v>1050</v>
      </c>
      <c r="AK115" s="19">
        <v>29.5</v>
      </c>
      <c r="AL115" s="27">
        <v>0</v>
      </c>
      <c r="AM115" s="14" t="s">
        <v>625</v>
      </c>
      <c r="AN115" s="17" t="s">
        <v>93</v>
      </c>
      <c r="AO115" s="5" t="s">
        <v>626</v>
      </c>
      <c r="AP115" s="28" t="s">
        <v>627</v>
      </c>
      <c r="AQ115" s="29" t="str">
        <f t="shared" si="3"/>
        <v>15W20R10R(15Trắng20Đỏ10Đỏ)</v>
      </c>
      <c r="AR115" s="29" t="str">
        <f t="shared" si="4"/>
        <v>15W20R10R</v>
      </c>
    </row>
    <row r="116" spans="1:44" ht="42" customHeight="1">
      <c r="A116" s="1">
        <v>434</v>
      </c>
      <c r="B116" s="12" t="s">
        <v>628</v>
      </c>
      <c r="C116" s="13" t="s">
        <v>895</v>
      </c>
      <c r="D116" s="59" t="s">
        <v>493</v>
      </c>
      <c r="E116" s="33">
        <v>49</v>
      </c>
      <c r="F116" s="51" t="s">
        <v>150</v>
      </c>
      <c r="G116" s="32" t="s">
        <v>93</v>
      </c>
      <c r="H116" s="60" t="s">
        <v>245</v>
      </c>
      <c r="I116" s="16" t="s">
        <v>30</v>
      </c>
      <c r="J116" s="51" t="s">
        <v>89</v>
      </c>
      <c r="K116" s="51" t="s">
        <v>90</v>
      </c>
      <c r="L116" s="51" t="s">
        <v>629</v>
      </c>
      <c r="M116" s="18" t="s">
        <v>790</v>
      </c>
      <c r="N116" s="18" t="s">
        <v>790</v>
      </c>
      <c r="O116" s="33">
        <v>1440</v>
      </c>
      <c r="P116" s="33">
        <v>192</v>
      </c>
      <c r="Q116" s="61">
        <v>2065</v>
      </c>
      <c r="R116" s="20"/>
      <c r="S116" s="56">
        <v>25.4</v>
      </c>
      <c r="T116" s="56">
        <v>34.299999999999997</v>
      </c>
      <c r="U116" s="33" t="s">
        <v>93</v>
      </c>
      <c r="V116" s="33">
        <v>830</v>
      </c>
      <c r="W116" s="24"/>
      <c r="X116" s="33">
        <v>760</v>
      </c>
      <c r="Y116" s="33">
        <v>930</v>
      </c>
      <c r="Z116" s="33">
        <v>980</v>
      </c>
      <c r="AA116" s="35">
        <v>700</v>
      </c>
      <c r="AB116" s="33">
        <v>700</v>
      </c>
      <c r="AC116" s="40"/>
      <c r="AD116" s="40"/>
      <c r="AE116" s="33">
        <v>1960</v>
      </c>
      <c r="AF116" s="33" t="s">
        <v>93</v>
      </c>
      <c r="AG116" s="33" t="s">
        <v>93</v>
      </c>
      <c r="AH116" s="33" t="s">
        <v>93</v>
      </c>
      <c r="AI116" s="33"/>
      <c r="AJ116" s="61">
        <v>2065</v>
      </c>
      <c r="AK116" s="61">
        <v>59.949999999999996</v>
      </c>
      <c r="AL116" s="27">
        <v>0</v>
      </c>
      <c r="AM116" s="37" t="s">
        <v>630</v>
      </c>
      <c r="AN116" s="17" t="s">
        <v>93</v>
      </c>
      <c r="AO116" s="55" t="s">
        <v>631</v>
      </c>
      <c r="AP116" s="37" t="s">
        <v>620</v>
      </c>
      <c r="AQ116" s="29" t="str">
        <f t="shared" si="3"/>
        <v>15G20V10V(15XLC20Tím10Tím)</v>
      </c>
      <c r="AR116" s="29" t="str">
        <f t="shared" si="4"/>
        <v>15G20V10V</v>
      </c>
    </row>
    <row r="117" spans="1:44" ht="42" customHeight="1">
      <c r="A117" s="1">
        <v>435</v>
      </c>
      <c r="B117" s="25" t="s">
        <v>632</v>
      </c>
      <c r="C117" s="13" t="s">
        <v>896</v>
      </c>
      <c r="D117" s="62" t="s">
        <v>378</v>
      </c>
      <c r="E117" s="51" t="s">
        <v>69</v>
      </c>
      <c r="F117" s="51" t="s">
        <v>150</v>
      </c>
      <c r="G117" s="51" t="s">
        <v>93</v>
      </c>
      <c r="H117" s="63" t="s">
        <v>455</v>
      </c>
      <c r="I117" s="16" t="s">
        <v>93</v>
      </c>
      <c r="J117" s="64" t="s">
        <v>89</v>
      </c>
      <c r="K117" s="64" t="s">
        <v>90</v>
      </c>
      <c r="L117" s="64" t="s">
        <v>394</v>
      </c>
      <c r="M117" s="18" t="s">
        <v>633</v>
      </c>
      <c r="N117" s="18" t="s">
        <v>633</v>
      </c>
      <c r="O117" s="18">
        <v>1435</v>
      </c>
      <c r="P117" s="18">
        <v>168</v>
      </c>
      <c r="Q117" s="65">
        <v>1270</v>
      </c>
      <c r="R117" s="20"/>
      <c r="S117" s="21">
        <v>19</v>
      </c>
      <c r="T117" s="21">
        <v>25.5</v>
      </c>
      <c r="U117" s="54"/>
      <c r="V117" s="23">
        <v>900</v>
      </c>
      <c r="W117" s="24"/>
      <c r="X117" s="25">
        <v>750</v>
      </c>
      <c r="Y117" s="25">
        <v>960</v>
      </c>
      <c r="Z117" s="25">
        <v>980</v>
      </c>
      <c r="AA117" s="35">
        <v>700</v>
      </c>
      <c r="AB117" s="25">
        <v>700</v>
      </c>
      <c r="AC117" s="26"/>
      <c r="AD117" s="26"/>
      <c r="AE117" s="22">
        <v>1340</v>
      </c>
      <c r="AF117" s="17" t="s">
        <v>93</v>
      </c>
      <c r="AG117" s="17" t="s">
        <v>93</v>
      </c>
      <c r="AH117" s="17" t="s">
        <v>93</v>
      </c>
      <c r="AI117" s="17"/>
      <c r="AJ117" s="65">
        <v>1270</v>
      </c>
      <c r="AK117" s="19">
        <v>40.1</v>
      </c>
      <c r="AL117" s="27">
        <v>0</v>
      </c>
      <c r="AM117" s="66" t="s">
        <v>934</v>
      </c>
      <c r="AN117" s="17" t="s">
        <v>93</v>
      </c>
      <c r="AO117" s="5" t="s">
        <v>634</v>
      </c>
      <c r="AP117" s="37" t="s">
        <v>635</v>
      </c>
      <c r="AQ117" s="29" t="str">
        <f t="shared" si="3"/>
        <v>20V10Y(20Tím10Vàng)</v>
      </c>
      <c r="AR117" s="29" t="str">
        <f t="shared" si="4"/>
        <v>20V10Y</v>
      </c>
    </row>
    <row r="118" spans="1:44" ht="42" customHeight="1">
      <c r="A118" s="1">
        <v>436</v>
      </c>
      <c r="B118" s="25" t="s">
        <v>636</v>
      </c>
      <c r="C118" s="13" t="s">
        <v>897</v>
      </c>
      <c r="D118" s="67" t="s">
        <v>444</v>
      </c>
      <c r="E118" s="51" t="s">
        <v>79</v>
      </c>
      <c r="F118" s="51" t="s">
        <v>150</v>
      </c>
      <c r="G118" s="51" t="s">
        <v>93</v>
      </c>
      <c r="H118" s="14" t="s">
        <v>141</v>
      </c>
      <c r="I118" s="16" t="s">
        <v>93</v>
      </c>
      <c r="J118" s="68" t="s">
        <v>637</v>
      </c>
      <c r="K118" s="64" t="s">
        <v>90</v>
      </c>
      <c r="L118" s="64" t="s">
        <v>445</v>
      </c>
      <c r="M118" s="18" t="s">
        <v>633</v>
      </c>
      <c r="N118" s="18" t="s">
        <v>633</v>
      </c>
      <c r="O118" s="68">
        <v>1435</v>
      </c>
      <c r="P118" s="18">
        <v>195</v>
      </c>
      <c r="Q118" s="68">
        <v>1550</v>
      </c>
      <c r="R118" s="20"/>
      <c r="S118" s="21">
        <v>23.5</v>
      </c>
      <c r="T118" s="21">
        <v>32.1</v>
      </c>
      <c r="U118" s="54"/>
      <c r="V118" s="23">
        <v>930</v>
      </c>
      <c r="W118" s="24"/>
      <c r="X118" s="25">
        <v>760</v>
      </c>
      <c r="Y118" s="25">
        <v>965</v>
      </c>
      <c r="Z118" s="25">
        <v>980</v>
      </c>
      <c r="AA118" s="35">
        <v>700</v>
      </c>
      <c r="AB118" s="25">
        <v>700</v>
      </c>
      <c r="AC118" s="26"/>
      <c r="AD118" s="26"/>
      <c r="AE118" s="68">
        <v>1610</v>
      </c>
      <c r="AF118" s="17" t="s">
        <v>93</v>
      </c>
      <c r="AG118" s="17" t="s">
        <v>93</v>
      </c>
      <c r="AH118" s="17" t="s">
        <v>93</v>
      </c>
      <c r="AI118" s="17"/>
      <c r="AJ118" s="68">
        <v>1550</v>
      </c>
      <c r="AK118" s="19">
        <v>44.5</v>
      </c>
      <c r="AL118" s="27">
        <v>0</v>
      </c>
      <c r="AM118" s="66" t="s">
        <v>935</v>
      </c>
      <c r="AN118" s="17" t="s">
        <v>93</v>
      </c>
      <c r="AO118" s="5" t="s">
        <v>638</v>
      </c>
      <c r="AP118" s="37" t="s">
        <v>458</v>
      </c>
      <c r="AQ118" s="29" t="str">
        <f t="shared" si="3"/>
        <v>20V10W(20Tím10Trắng)</v>
      </c>
      <c r="AR118" s="29" t="str">
        <f t="shared" si="4"/>
        <v>20V10W</v>
      </c>
    </row>
    <row r="119" spans="1:44" ht="42" customHeight="1">
      <c r="A119" s="1">
        <v>437</v>
      </c>
      <c r="B119" s="51" t="s">
        <v>639</v>
      </c>
      <c r="C119" s="13" t="s">
        <v>898</v>
      </c>
      <c r="D119" s="52" t="s">
        <v>640</v>
      </c>
      <c r="E119" s="51" t="s">
        <v>74</v>
      </c>
      <c r="F119" s="15" t="s">
        <v>150</v>
      </c>
      <c r="G119" s="32" t="s">
        <v>93</v>
      </c>
      <c r="H119" s="53" t="s">
        <v>316</v>
      </c>
      <c r="I119" s="16" t="s">
        <v>30</v>
      </c>
      <c r="J119" s="17" t="s">
        <v>89</v>
      </c>
      <c r="K119" s="17" t="s">
        <v>90</v>
      </c>
      <c r="L119" s="17" t="s">
        <v>317</v>
      </c>
      <c r="M119" s="18" t="s">
        <v>263</v>
      </c>
      <c r="N119" s="18" t="s">
        <v>263</v>
      </c>
      <c r="O119" s="54">
        <v>1225</v>
      </c>
      <c r="P119" s="69">
        <v>165</v>
      </c>
      <c r="Q119" s="54">
        <v>1280</v>
      </c>
      <c r="R119" s="20"/>
      <c r="S119" s="56">
        <v>10.7</v>
      </c>
      <c r="T119" s="56">
        <v>15.7</v>
      </c>
      <c r="U119" s="33" t="s">
        <v>93</v>
      </c>
      <c r="V119" s="54">
        <v>560</v>
      </c>
      <c r="W119" s="24"/>
      <c r="X119" s="51">
        <v>725</v>
      </c>
      <c r="Y119" s="51">
        <v>980</v>
      </c>
      <c r="Z119" s="51">
        <v>980</v>
      </c>
      <c r="AA119" s="35">
        <v>700</v>
      </c>
      <c r="AB119" s="51">
        <v>700</v>
      </c>
      <c r="AC119" s="58"/>
      <c r="AD119" s="58"/>
      <c r="AE119" s="54">
        <v>1210</v>
      </c>
      <c r="AF119" s="17" t="s">
        <v>93</v>
      </c>
      <c r="AG119" s="17" t="s">
        <v>93</v>
      </c>
      <c r="AH119" s="17" t="s">
        <v>93</v>
      </c>
      <c r="AI119" s="17"/>
      <c r="AJ119" s="54">
        <v>1280</v>
      </c>
      <c r="AK119" s="19">
        <v>40.4</v>
      </c>
      <c r="AL119" s="27">
        <v>0</v>
      </c>
      <c r="AM119" s="70" t="s">
        <v>641</v>
      </c>
      <c r="AN119" s="17" t="s">
        <v>93</v>
      </c>
      <c r="AO119" s="60" t="s">
        <v>642</v>
      </c>
      <c r="AP119" s="37" t="s">
        <v>627</v>
      </c>
      <c r="AQ119" s="29" t="str">
        <f t="shared" si="3"/>
        <v>15W15Y10Y(15Trắng15Vàng10Vàng)</v>
      </c>
      <c r="AR119" s="29" t="str">
        <f t="shared" si="4"/>
        <v>15W15Y10Y</v>
      </c>
    </row>
    <row r="120" spans="1:44" ht="42" customHeight="1">
      <c r="A120" s="1">
        <v>438</v>
      </c>
      <c r="B120" s="51" t="s">
        <v>643</v>
      </c>
      <c r="C120" s="13" t="s">
        <v>899</v>
      </c>
      <c r="D120" s="52" t="s">
        <v>249</v>
      </c>
      <c r="E120" s="51" t="s">
        <v>78</v>
      </c>
      <c r="F120" s="15" t="s">
        <v>150</v>
      </c>
      <c r="G120" s="32" t="s">
        <v>93</v>
      </c>
      <c r="H120" s="53" t="s">
        <v>316</v>
      </c>
      <c r="I120" s="16" t="s">
        <v>30</v>
      </c>
      <c r="J120" s="17" t="s">
        <v>89</v>
      </c>
      <c r="K120" s="17" t="s">
        <v>90</v>
      </c>
      <c r="L120" s="17" t="s">
        <v>440</v>
      </c>
      <c r="M120" s="18" t="s">
        <v>263</v>
      </c>
      <c r="N120" s="18" t="s">
        <v>263</v>
      </c>
      <c r="O120" s="54">
        <v>1225</v>
      </c>
      <c r="P120" s="69">
        <v>190</v>
      </c>
      <c r="Q120" s="54">
        <v>1810</v>
      </c>
      <c r="R120" s="20"/>
      <c r="S120" s="56">
        <v>13</v>
      </c>
      <c r="T120" s="56">
        <v>18.2</v>
      </c>
      <c r="U120" s="33" t="s">
        <v>93</v>
      </c>
      <c r="V120" s="54">
        <v>770</v>
      </c>
      <c r="W120" s="24"/>
      <c r="X120" s="51">
        <v>700</v>
      </c>
      <c r="Y120" s="51">
        <v>970</v>
      </c>
      <c r="Z120" s="51">
        <v>980</v>
      </c>
      <c r="AA120" s="35">
        <v>700</v>
      </c>
      <c r="AB120" s="51">
        <v>700</v>
      </c>
      <c r="AC120" s="58"/>
      <c r="AD120" s="58"/>
      <c r="AE120" s="54">
        <v>1730</v>
      </c>
      <c r="AF120" s="17" t="s">
        <v>93</v>
      </c>
      <c r="AG120" s="17" t="s">
        <v>93</v>
      </c>
      <c r="AH120" s="17" t="s">
        <v>93</v>
      </c>
      <c r="AI120" s="17"/>
      <c r="AJ120" s="54">
        <v>1810</v>
      </c>
      <c r="AK120" s="19">
        <v>55.3</v>
      </c>
      <c r="AL120" s="27">
        <v>0</v>
      </c>
      <c r="AM120" s="70" t="s">
        <v>644</v>
      </c>
      <c r="AN120" s="17" t="s">
        <v>93</v>
      </c>
      <c r="AO120" s="60" t="s">
        <v>645</v>
      </c>
      <c r="AP120" s="37" t="s">
        <v>627</v>
      </c>
      <c r="AQ120" s="29" t="str">
        <f t="shared" si="3"/>
        <v>15G15Y10Y(15XLC15Vàng10Vàng)</v>
      </c>
      <c r="AR120" s="29" t="str">
        <f t="shared" si="4"/>
        <v>15G15Y10Y</v>
      </c>
    </row>
    <row r="121" spans="1:44" ht="42" customHeight="1">
      <c r="A121" s="1">
        <v>439</v>
      </c>
      <c r="B121" s="51" t="s">
        <v>646</v>
      </c>
      <c r="C121" s="13" t="s">
        <v>900</v>
      </c>
      <c r="D121" s="52" t="s">
        <v>647</v>
      </c>
      <c r="E121" s="51" t="s">
        <v>648</v>
      </c>
      <c r="F121" s="15" t="s">
        <v>150</v>
      </c>
      <c r="G121" s="32" t="s">
        <v>93</v>
      </c>
      <c r="H121" s="53" t="s">
        <v>316</v>
      </c>
      <c r="I121" s="16" t="s">
        <v>30</v>
      </c>
      <c r="J121" s="17" t="s">
        <v>89</v>
      </c>
      <c r="K121" s="17" t="s">
        <v>90</v>
      </c>
      <c r="L121" s="17" t="s">
        <v>649</v>
      </c>
      <c r="M121" s="18" t="s">
        <v>263</v>
      </c>
      <c r="N121" s="18" t="s">
        <v>263</v>
      </c>
      <c r="O121" s="54">
        <v>1240</v>
      </c>
      <c r="P121" s="69">
        <v>255</v>
      </c>
      <c r="Q121" s="54">
        <v>2235</v>
      </c>
      <c r="R121" s="20"/>
      <c r="S121" s="56"/>
      <c r="T121" s="56"/>
      <c r="U121" s="33" t="s">
        <v>93</v>
      </c>
      <c r="V121" s="54"/>
      <c r="W121" s="24"/>
      <c r="X121" s="51"/>
      <c r="Y121" s="51"/>
      <c r="Z121" s="51"/>
      <c r="AA121" s="51"/>
      <c r="AB121" s="51"/>
      <c r="AC121" s="58"/>
      <c r="AD121" s="58"/>
      <c r="AE121" s="54"/>
      <c r="AF121" s="17" t="s">
        <v>93</v>
      </c>
      <c r="AG121" s="17" t="s">
        <v>93</v>
      </c>
      <c r="AH121" s="17" t="s">
        <v>93</v>
      </c>
      <c r="AI121" s="17"/>
      <c r="AJ121" s="54">
        <v>2235</v>
      </c>
      <c r="AK121" s="19">
        <v>65.05</v>
      </c>
      <c r="AL121" s="27">
        <v>0</v>
      </c>
      <c r="AM121" s="70" t="s">
        <v>650</v>
      </c>
      <c r="AN121" s="17" t="s">
        <v>93</v>
      </c>
      <c r="AO121" s="60" t="s">
        <v>651</v>
      </c>
      <c r="AP121" s="37" t="s">
        <v>652</v>
      </c>
      <c r="AQ121" s="29" t="str">
        <f t="shared" si="3"/>
        <v>15Y15V10V(15Vàng15Tím10Tím)</v>
      </c>
      <c r="AR121" s="29" t="str">
        <f t="shared" si="4"/>
        <v>15Y15V10V</v>
      </c>
    </row>
    <row r="122" spans="1:44" ht="42" customHeight="1">
      <c r="A122" s="1">
        <v>440</v>
      </c>
      <c r="B122" s="51" t="s">
        <v>653</v>
      </c>
      <c r="C122" s="13" t="s">
        <v>901</v>
      </c>
      <c r="D122" s="52" t="s">
        <v>654</v>
      </c>
      <c r="E122" s="51" t="s">
        <v>66</v>
      </c>
      <c r="F122" s="15" t="s">
        <v>150</v>
      </c>
      <c r="G122" s="32" t="s">
        <v>93</v>
      </c>
      <c r="H122" s="53" t="s">
        <v>316</v>
      </c>
      <c r="I122" s="16" t="s">
        <v>30</v>
      </c>
      <c r="J122" s="17" t="s">
        <v>89</v>
      </c>
      <c r="K122" s="17" t="s">
        <v>90</v>
      </c>
      <c r="L122" s="17" t="s">
        <v>655</v>
      </c>
      <c r="M122" s="18" t="s">
        <v>263</v>
      </c>
      <c r="N122" s="18" t="s">
        <v>263</v>
      </c>
      <c r="O122" s="54">
        <v>1435</v>
      </c>
      <c r="P122" s="69">
        <v>145</v>
      </c>
      <c r="Q122" s="54">
        <v>1100</v>
      </c>
      <c r="R122" s="20"/>
      <c r="S122" s="56"/>
      <c r="T122" s="56"/>
      <c r="U122" s="33" t="s">
        <v>93</v>
      </c>
      <c r="V122" s="54"/>
      <c r="W122" s="24"/>
      <c r="X122" s="51"/>
      <c r="Y122" s="51"/>
      <c r="Z122" s="51"/>
      <c r="AA122" s="51"/>
      <c r="AB122" s="51"/>
      <c r="AC122" s="58"/>
      <c r="AD122" s="58"/>
      <c r="AE122" s="54"/>
      <c r="AF122" s="17" t="s">
        <v>93</v>
      </c>
      <c r="AG122" s="17" t="s">
        <v>93</v>
      </c>
      <c r="AH122" s="17" t="s">
        <v>93</v>
      </c>
      <c r="AI122" s="17"/>
      <c r="AJ122" s="54">
        <v>1110</v>
      </c>
      <c r="AK122" s="19">
        <v>35.299999999999997</v>
      </c>
      <c r="AL122" s="27">
        <v>0</v>
      </c>
      <c r="AM122" s="70" t="s">
        <v>656</v>
      </c>
      <c r="AN122" s="17" t="s">
        <v>93</v>
      </c>
      <c r="AO122" s="60" t="s">
        <v>657</v>
      </c>
      <c r="AP122" s="37" t="s">
        <v>652</v>
      </c>
      <c r="AQ122" s="29" t="str">
        <f t="shared" si="3"/>
        <v>15W15V10V(15Trắng15Tím10Tím)</v>
      </c>
      <c r="AR122" s="29" t="str">
        <f t="shared" si="4"/>
        <v>15W15V10V</v>
      </c>
    </row>
    <row r="123" spans="1:44" ht="42" customHeight="1">
      <c r="A123" s="1">
        <v>441</v>
      </c>
      <c r="B123" s="51" t="s">
        <v>438</v>
      </c>
      <c r="C123" s="13" t="s">
        <v>862</v>
      </c>
      <c r="D123" s="52" t="s">
        <v>439</v>
      </c>
      <c r="E123" s="51" t="s">
        <v>76</v>
      </c>
      <c r="F123" s="15" t="s">
        <v>150</v>
      </c>
      <c r="G123" s="32" t="s">
        <v>93</v>
      </c>
      <c r="H123" s="53" t="s">
        <v>226</v>
      </c>
      <c r="I123" s="16" t="s">
        <v>30</v>
      </c>
      <c r="J123" s="17" t="s">
        <v>89</v>
      </c>
      <c r="K123" s="17" t="s">
        <v>90</v>
      </c>
      <c r="L123" s="17" t="s">
        <v>658</v>
      </c>
      <c r="M123" s="18" t="s">
        <v>409</v>
      </c>
      <c r="N123" s="18" t="s">
        <v>409</v>
      </c>
      <c r="O123" s="54">
        <v>1435</v>
      </c>
      <c r="P123" s="69">
        <v>186</v>
      </c>
      <c r="Q123" s="54">
        <v>1600</v>
      </c>
      <c r="R123" s="20"/>
      <c r="S123" s="56">
        <v>21</v>
      </c>
      <c r="T123" s="56">
        <v>28.4</v>
      </c>
      <c r="U123" s="33" t="s">
        <v>93</v>
      </c>
      <c r="V123" s="54">
        <v>870</v>
      </c>
      <c r="W123" s="24"/>
      <c r="X123" s="51" t="s">
        <v>291</v>
      </c>
      <c r="Y123" s="51" t="s">
        <v>289</v>
      </c>
      <c r="Z123" s="51" t="s">
        <v>290</v>
      </c>
      <c r="AA123" s="51" t="s">
        <v>597</v>
      </c>
      <c r="AB123" s="51" t="s">
        <v>660</v>
      </c>
      <c r="AC123" s="58"/>
      <c r="AD123" s="58"/>
      <c r="AE123" s="54">
        <v>1640</v>
      </c>
      <c r="AF123" s="51" t="s">
        <v>335</v>
      </c>
      <c r="AG123" s="54" t="s">
        <v>336</v>
      </c>
      <c r="AH123" s="17" t="s">
        <v>931</v>
      </c>
      <c r="AI123" s="71">
        <v>50</v>
      </c>
      <c r="AJ123" s="54">
        <v>1620</v>
      </c>
      <c r="AK123" s="19">
        <v>49.6</v>
      </c>
      <c r="AL123" s="27">
        <v>0</v>
      </c>
      <c r="AM123" s="14" t="s">
        <v>659</v>
      </c>
      <c r="AN123" s="17" t="s">
        <v>93</v>
      </c>
      <c r="AO123" s="5" t="s">
        <v>661</v>
      </c>
      <c r="AP123" s="37" t="s">
        <v>662</v>
      </c>
      <c r="AQ123" s="29" t="str">
        <f t="shared" si="3"/>
        <v>20B10R(20XDT10Đỏ)</v>
      </c>
      <c r="AR123" s="29" t="str">
        <f t="shared" si="4"/>
        <v>20B10R</v>
      </c>
    </row>
    <row r="124" spans="1:44" ht="42" customHeight="1">
      <c r="A124" s="1">
        <v>442</v>
      </c>
      <c r="B124" s="51" t="s">
        <v>663</v>
      </c>
      <c r="C124" s="13" t="s">
        <v>902</v>
      </c>
      <c r="D124" s="52" t="s">
        <v>499</v>
      </c>
      <c r="E124" s="51" t="s">
        <v>83</v>
      </c>
      <c r="F124" s="15" t="s">
        <v>150</v>
      </c>
      <c r="G124" s="32" t="s">
        <v>93</v>
      </c>
      <c r="H124" s="53" t="s">
        <v>267</v>
      </c>
      <c r="I124" s="16" t="s">
        <v>30</v>
      </c>
      <c r="J124" s="17" t="s">
        <v>89</v>
      </c>
      <c r="K124" s="17" t="s">
        <v>90</v>
      </c>
      <c r="L124" s="17" t="s">
        <v>664</v>
      </c>
      <c r="M124" s="18" t="s">
        <v>409</v>
      </c>
      <c r="N124" s="18" t="s">
        <v>409</v>
      </c>
      <c r="O124" s="54">
        <v>1460</v>
      </c>
      <c r="P124" s="69">
        <v>240</v>
      </c>
      <c r="Q124" s="54">
        <v>2565</v>
      </c>
      <c r="R124" s="20"/>
      <c r="S124" s="56">
        <v>39</v>
      </c>
      <c r="T124" s="56">
        <v>35.299999999999997</v>
      </c>
      <c r="U124" s="33" t="s">
        <v>93</v>
      </c>
      <c r="V124" s="54">
        <v>800</v>
      </c>
      <c r="W124" s="24"/>
      <c r="X124" s="51" t="s">
        <v>667</v>
      </c>
      <c r="Y124" s="51" t="s">
        <v>668</v>
      </c>
      <c r="Z124" s="51" t="s">
        <v>290</v>
      </c>
      <c r="AA124" s="51" t="s">
        <v>291</v>
      </c>
      <c r="AB124" s="51" t="s">
        <v>291</v>
      </c>
      <c r="AC124" s="58"/>
      <c r="AD124" s="58"/>
      <c r="AE124" s="54">
        <v>2660</v>
      </c>
      <c r="AF124" s="51" t="s">
        <v>335</v>
      </c>
      <c r="AG124" s="54" t="s">
        <v>665</v>
      </c>
      <c r="AH124" s="17" t="s">
        <v>931</v>
      </c>
      <c r="AI124" s="71">
        <v>77</v>
      </c>
      <c r="AJ124" s="54">
        <v>2640</v>
      </c>
      <c r="AK124" s="19">
        <v>80.2</v>
      </c>
      <c r="AL124" s="27">
        <v>0</v>
      </c>
      <c r="AM124" s="14" t="s">
        <v>666</v>
      </c>
      <c r="AN124" s="17" t="s">
        <v>93</v>
      </c>
      <c r="AO124" s="5" t="s">
        <v>669</v>
      </c>
      <c r="AP124" s="37" t="s">
        <v>670</v>
      </c>
      <c r="AQ124" s="29" t="str">
        <f t="shared" si="3"/>
        <v>20R10W(20Đỏ10Trắng)</v>
      </c>
      <c r="AR124" s="29" t="str">
        <f t="shared" si="4"/>
        <v>20R10W</v>
      </c>
    </row>
    <row r="125" spans="1:44" ht="42" customHeight="1">
      <c r="A125" s="1">
        <v>443</v>
      </c>
      <c r="B125" s="51" t="s">
        <v>671</v>
      </c>
      <c r="C125" s="13" t="s">
        <v>903</v>
      </c>
      <c r="D125" s="52" t="s">
        <v>640</v>
      </c>
      <c r="E125" s="51" t="s">
        <v>74</v>
      </c>
      <c r="F125" s="15" t="s">
        <v>150</v>
      </c>
      <c r="G125" s="32" t="s">
        <v>93</v>
      </c>
      <c r="H125" s="53" t="s">
        <v>422</v>
      </c>
      <c r="I125" s="16" t="s">
        <v>93</v>
      </c>
      <c r="J125" s="51" t="s">
        <v>192</v>
      </c>
      <c r="K125" s="51" t="s">
        <v>193</v>
      </c>
      <c r="L125" s="17" t="s">
        <v>672</v>
      </c>
      <c r="M125" s="18" t="s">
        <v>409</v>
      </c>
      <c r="N125" s="18" t="s">
        <v>409</v>
      </c>
      <c r="O125" s="54">
        <v>1195</v>
      </c>
      <c r="P125" s="69">
        <v>190</v>
      </c>
      <c r="Q125" s="54">
        <v>1180</v>
      </c>
      <c r="R125" s="20">
        <v>1230.2</v>
      </c>
      <c r="S125" s="56"/>
      <c r="T125" s="56"/>
      <c r="U125" s="33" t="s">
        <v>93</v>
      </c>
      <c r="V125" s="54"/>
      <c r="W125" s="24"/>
      <c r="X125" s="51"/>
      <c r="Y125" s="51"/>
      <c r="Z125" s="51"/>
      <c r="AA125" s="51"/>
      <c r="AB125" s="51"/>
      <c r="AC125" s="58"/>
      <c r="AD125" s="58"/>
      <c r="AE125" s="54"/>
      <c r="AF125" s="51" t="s">
        <v>335</v>
      </c>
      <c r="AG125" s="54" t="s">
        <v>336</v>
      </c>
      <c r="AH125" s="17" t="s">
        <v>931</v>
      </c>
      <c r="AI125" s="71">
        <v>42</v>
      </c>
      <c r="AJ125" s="54">
        <v>1220</v>
      </c>
      <c r="AK125" s="19">
        <v>34.6</v>
      </c>
      <c r="AL125" s="27">
        <v>34.905999999999999</v>
      </c>
      <c r="AM125" s="14" t="s">
        <v>673</v>
      </c>
      <c r="AN125" s="17" t="s">
        <v>93</v>
      </c>
      <c r="AO125" s="5" t="s">
        <v>674</v>
      </c>
      <c r="AP125" s="37" t="s">
        <v>675</v>
      </c>
      <c r="AQ125" s="29" t="str">
        <f t="shared" si="3"/>
        <v>15R10B(15Đỏ10XDT)</v>
      </c>
      <c r="AR125" s="29" t="str">
        <f t="shared" si="4"/>
        <v>15R10B</v>
      </c>
    </row>
    <row r="126" spans="1:44" ht="42" customHeight="1">
      <c r="A126" s="1">
        <v>444</v>
      </c>
      <c r="B126" s="51" t="s">
        <v>676</v>
      </c>
      <c r="C126" s="13" t="s">
        <v>904</v>
      </c>
      <c r="D126" s="52" t="s">
        <v>677</v>
      </c>
      <c r="E126" s="51" t="s">
        <v>80</v>
      </c>
      <c r="F126" s="15" t="s">
        <v>150</v>
      </c>
      <c r="G126" s="32" t="s">
        <v>93</v>
      </c>
      <c r="H126" s="53" t="s">
        <v>422</v>
      </c>
      <c r="I126" s="16" t="s">
        <v>93</v>
      </c>
      <c r="J126" s="51" t="s">
        <v>192</v>
      </c>
      <c r="K126" s="51" t="s">
        <v>193</v>
      </c>
      <c r="L126" s="17" t="s">
        <v>678</v>
      </c>
      <c r="M126" s="18" t="s">
        <v>409</v>
      </c>
      <c r="N126" s="18" t="s">
        <v>409</v>
      </c>
      <c r="O126" s="54">
        <v>1195</v>
      </c>
      <c r="P126" s="69">
        <v>245</v>
      </c>
      <c r="Q126" s="54">
        <v>1385</v>
      </c>
      <c r="R126" s="20">
        <v>1455.4</v>
      </c>
      <c r="S126" s="56"/>
      <c r="T126" s="56"/>
      <c r="U126" s="33" t="s">
        <v>93</v>
      </c>
      <c r="V126" s="54"/>
      <c r="W126" s="24"/>
      <c r="X126" s="51"/>
      <c r="Y126" s="51"/>
      <c r="Z126" s="51"/>
      <c r="AA126" s="51"/>
      <c r="AB126" s="51"/>
      <c r="AC126" s="58"/>
      <c r="AD126" s="58"/>
      <c r="AE126" s="54"/>
      <c r="AF126" s="51" t="s">
        <v>335</v>
      </c>
      <c r="AG126" s="54" t="s">
        <v>679</v>
      </c>
      <c r="AH126" s="17" t="s">
        <v>931</v>
      </c>
      <c r="AI126" s="71">
        <v>54</v>
      </c>
      <c r="AJ126" s="54">
        <v>1440</v>
      </c>
      <c r="AK126" s="19">
        <v>45.199999999999996</v>
      </c>
      <c r="AL126" s="27">
        <v>44.661999999999999</v>
      </c>
      <c r="AM126" s="14" t="s">
        <v>680</v>
      </c>
      <c r="AN126" s="17" t="s">
        <v>93</v>
      </c>
      <c r="AO126" s="5" t="s">
        <v>681</v>
      </c>
      <c r="AP126" s="37" t="s">
        <v>682</v>
      </c>
      <c r="AQ126" s="29" t="str">
        <f t="shared" si="3"/>
        <v>15R10V(15Đỏ10Tím)</v>
      </c>
      <c r="AR126" s="29" t="str">
        <f t="shared" si="4"/>
        <v>15R10V</v>
      </c>
    </row>
    <row r="127" spans="1:44" ht="42" customHeight="1">
      <c r="A127" s="1">
        <v>445</v>
      </c>
      <c r="B127" s="51" t="s">
        <v>683</v>
      </c>
      <c r="C127" s="13" t="s">
        <v>905</v>
      </c>
      <c r="D127" s="52" t="s">
        <v>684</v>
      </c>
      <c r="E127" s="51" t="s">
        <v>82</v>
      </c>
      <c r="F127" s="15" t="s">
        <v>150</v>
      </c>
      <c r="G127" s="32" t="s">
        <v>93</v>
      </c>
      <c r="H127" s="53" t="s">
        <v>422</v>
      </c>
      <c r="I127" s="16" t="s">
        <v>93</v>
      </c>
      <c r="J127" s="51" t="s">
        <v>89</v>
      </c>
      <c r="K127" s="51" t="s">
        <v>90</v>
      </c>
      <c r="L127" s="17" t="s">
        <v>685</v>
      </c>
      <c r="M127" s="18" t="s">
        <v>409</v>
      </c>
      <c r="N127" s="18" t="s">
        <v>409</v>
      </c>
      <c r="O127" s="54">
        <v>1200</v>
      </c>
      <c r="P127" s="69">
        <v>249</v>
      </c>
      <c r="Q127" s="54">
        <v>1870</v>
      </c>
      <c r="R127" s="20"/>
      <c r="S127" s="56">
        <v>23.4</v>
      </c>
      <c r="T127" s="56">
        <v>31.7</v>
      </c>
      <c r="U127" s="33" t="s">
        <v>93</v>
      </c>
      <c r="V127" s="54">
        <v>860</v>
      </c>
      <c r="W127" s="24"/>
      <c r="X127" s="51" t="s">
        <v>687</v>
      </c>
      <c r="Y127" s="51" t="s">
        <v>668</v>
      </c>
      <c r="Z127" s="51" t="s">
        <v>290</v>
      </c>
      <c r="AA127" s="51" t="s">
        <v>291</v>
      </c>
      <c r="AB127" s="51" t="s">
        <v>291</v>
      </c>
      <c r="AC127" s="58"/>
      <c r="AD127" s="58"/>
      <c r="AE127" s="54">
        <v>1920</v>
      </c>
      <c r="AF127" s="51" t="s">
        <v>335</v>
      </c>
      <c r="AG127" s="54" t="s">
        <v>686</v>
      </c>
      <c r="AH127" s="17" t="s">
        <v>931</v>
      </c>
      <c r="AI127" s="71">
        <v>62</v>
      </c>
      <c r="AJ127" s="54">
        <v>1930</v>
      </c>
      <c r="AK127" s="19">
        <v>54.9</v>
      </c>
      <c r="AL127" s="27">
        <v>0</v>
      </c>
      <c r="AM127" s="14" t="s">
        <v>204</v>
      </c>
      <c r="AN127" s="17" t="s">
        <v>93</v>
      </c>
      <c r="AO127" s="5" t="s">
        <v>688</v>
      </c>
      <c r="AP127" s="37" t="s">
        <v>689</v>
      </c>
      <c r="AQ127" s="29" t="str">
        <f t="shared" si="3"/>
        <v>20V(20Tím)</v>
      </c>
      <c r="AR127" s="29" t="str">
        <f t="shared" si="4"/>
        <v>20V</v>
      </c>
    </row>
    <row r="128" spans="1:44" ht="42" customHeight="1">
      <c r="A128" s="1">
        <v>446</v>
      </c>
      <c r="B128" s="51" t="s">
        <v>690</v>
      </c>
      <c r="C128" s="13" t="s">
        <v>906</v>
      </c>
      <c r="D128" s="52" t="s">
        <v>647</v>
      </c>
      <c r="E128" s="51" t="s">
        <v>81</v>
      </c>
      <c r="F128" s="51" t="s">
        <v>150</v>
      </c>
      <c r="G128" s="51" t="s">
        <v>93</v>
      </c>
      <c r="H128" s="53" t="s">
        <v>691</v>
      </c>
      <c r="I128" s="16" t="s">
        <v>30</v>
      </c>
      <c r="J128" s="51" t="s">
        <v>192</v>
      </c>
      <c r="K128" s="51" t="s">
        <v>193</v>
      </c>
      <c r="L128" s="17" t="s">
        <v>692</v>
      </c>
      <c r="M128" s="18" t="s">
        <v>203</v>
      </c>
      <c r="N128" s="18" t="s">
        <v>203</v>
      </c>
      <c r="O128" s="54">
        <v>1225</v>
      </c>
      <c r="P128" s="69">
        <v>255</v>
      </c>
      <c r="Q128" s="54">
        <v>1970</v>
      </c>
      <c r="R128" s="20">
        <v>2050.3000000000002</v>
      </c>
      <c r="S128" s="56"/>
      <c r="T128" s="56"/>
      <c r="U128" s="33" t="s">
        <v>93</v>
      </c>
      <c r="V128" s="54"/>
      <c r="W128" s="24"/>
      <c r="X128" s="51"/>
      <c r="Y128" s="51"/>
      <c r="Z128" s="51"/>
      <c r="AA128" s="51"/>
      <c r="AB128" s="51"/>
      <c r="AC128" s="58"/>
      <c r="AD128" s="58"/>
      <c r="AE128" s="54"/>
      <c r="AF128" s="51" t="s">
        <v>335</v>
      </c>
      <c r="AG128" s="54" t="s">
        <v>359</v>
      </c>
      <c r="AH128" s="17" t="s">
        <v>931</v>
      </c>
      <c r="AI128" s="71">
        <v>59</v>
      </c>
      <c r="AJ128" s="54">
        <v>2030</v>
      </c>
      <c r="AK128" s="19">
        <v>59.9</v>
      </c>
      <c r="AL128" s="27">
        <v>59.509</v>
      </c>
      <c r="AM128" s="14" t="s">
        <v>693</v>
      </c>
      <c r="AN128" s="17" t="s">
        <v>93</v>
      </c>
      <c r="AO128" s="5" t="s">
        <v>694</v>
      </c>
      <c r="AP128" s="37" t="s">
        <v>695</v>
      </c>
      <c r="AQ128" s="29" t="str">
        <f t="shared" si="3"/>
        <v>20G(20Xanhlácây)</v>
      </c>
      <c r="AR128" s="29" t="str">
        <f t="shared" si="4"/>
        <v>20G</v>
      </c>
    </row>
    <row r="129" spans="1:44" ht="42" customHeight="1">
      <c r="A129" s="1">
        <v>447</v>
      </c>
      <c r="B129" s="51" t="s">
        <v>696</v>
      </c>
      <c r="C129" s="13" t="s">
        <v>907</v>
      </c>
      <c r="D129" s="52" t="s">
        <v>697</v>
      </c>
      <c r="E129" s="51" t="s">
        <v>698</v>
      </c>
      <c r="F129" s="51" t="s">
        <v>150</v>
      </c>
      <c r="G129" s="51" t="s">
        <v>93</v>
      </c>
      <c r="H129" s="53" t="s">
        <v>699</v>
      </c>
      <c r="I129" s="16" t="s">
        <v>30</v>
      </c>
      <c r="J129" s="51" t="s">
        <v>192</v>
      </c>
      <c r="K129" s="51" t="s">
        <v>193</v>
      </c>
      <c r="L129" s="17" t="s">
        <v>700</v>
      </c>
      <c r="M129" s="18" t="s">
        <v>203</v>
      </c>
      <c r="N129" s="18" t="s">
        <v>203</v>
      </c>
      <c r="O129" s="54">
        <v>1225</v>
      </c>
      <c r="P129" s="69">
        <v>330</v>
      </c>
      <c r="Q129" s="54">
        <v>3135</v>
      </c>
      <c r="R129" s="20">
        <v>3240.1</v>
      </c>
      <c r="S129" s="56"/>
      <c r="T129" s="56"/>
      <c r="U129" s="33" t="s">
        <v>93</v>
      </c>
      <c r="V129" s="54"/>
      <c r="W129" s="24"/>
      <c r="X129" s="53"/>
      <c r="Y129" s="53"/>
      <c r="Z129" s="53"/>
      <c r="AA129" s="53"/>
      <c r="AB129" s="53"/>
      <c r="AC129" s="72"/>
      <c r="AD129" s="72"/>
      <c r="AE129" s="54"/>
      <c r="AF129" s="51" t="s">
        <v>335</v>
      </c>
      <c r="AG129" s="54" t="s">
        <v>701</v>
      </c>
      <c r="AH129" s="17" t="s">
        <v>931</v>
      </c>
      <c r="AI129" s="71">
        <v>76</v>
      </c>
      <c r="AJ129" s="54">
        <v>3210</v>
      </c>
      <c r="AK129" s="19">
        <v>95.3</v>
      </c>
      <c r="AL129" s="27">
        <v>95.202999999999989</v>
      </c>
      <c r="AM129" s="14" t="s">
        <v>702</v>
      </c>
      <c r="AN129" s="17" t="s">
        <v>93</v>
      </c>
      <c r="AO129" s="5" t="s">
        <v>703</v>
      </c>
      <c r="AP129" s="37" t="s">
        <v>704</v>
      </c>
      <c r="AQ129" s="29" t="str">
        <f t="shared" si="3"/>
        <v>20W(20Trắng)</v>
      </c>
      <c r="AR129" s="29" t="str">
        <f t="shared" si="4"/>
        <v>20W</v>
      </c>
    </row>
    <row r="130" spans="1:44" ht="42" customHeight="1">
      <c r="A130" s="1">
        <v>448</v>
      </c>
      <c r="B130" s="51" t="s">
        <v>705</v>
      </c>
      <c r="C130" s="13" t="s">
        <v>908</v>
      </c>
      <c r="D130" s="52" t="s">
        <v>439</v>
      </c>
      <c r="E130" s="51" t="s">
        <v>76</v>
      </c>
      <c r="F130" s="15" t="s">
        <v>150</v>
      </c>
      <c r="G130" s="32" t="s">
        <v>93</v>
      </c>
      <c r="H130" s="53" t="s">
        <v>407</v>
      </c>
      <c r="I130" s="16" t="s">
        <v>30</v>
      </c>
      <c r="J130" s="17" t="s">
        <v>89</v>
      </c>
      <c r="K130" s="17" t="s">
        <v>90</v>
      </c>
      <c r="L130" s="17" t="s">
        <v>706</v>
      </c>
      <c r="M130" s="18" t="s">
        <v>409</v>
      </c>
      <c r="N130" s="18" t="s">
        <v>409</v>
      </c>
      <c r="O130" s="54">
        <v>1440</v>
      </c>
      <c r="P130" s="69">
        <v>200</v>
      </c>
      <c r="Q130" s="54">
        <v>1620</v>
      </c>
      <c r="R130" s="20"/>
      <c r="S130" s="56">
        <v>23.4</v>
      </c>
      <c r="T130" s="56">
        <v>31.7</v>
      </c>
      <c r="U130" s="33" t="s">
        <v>93</v>
      </c>
      <c r="V130" s="54">
        <v>860</v>
      </c>
      <c r="W130" s="24"/>
      <c r="X130" s="51" t="s">
        <v>687</v>
      </c>
      <c r="Y130" s="51" t="s">
        <v>668</v>
      </c>
      <c r="Z130" s="51" t="s">
        <v>290</v>
      </c>
      <c r="AA130" s="51" t="s">
        <v>291</v>
      </c>
      <c r="AB130" s="51" t="s">
        <v>291</v>
      </c>
      <c r="AC130" s="58"/>
      <c r="AD130" s="58"/>
      <c r="AE130" s="54">
        <v>1600</v>
      </c>
      <c r="AF130" s="51" t="s">
        <v>335</v>
      </c>
      <c r="AG130" s="54" t="s">
        <v>336</v>
      </c>
      <c r="AH130" s="17" t="s">
        <v>931</v>
      </c>
      <c r="AI130" s="71">
        <v>50</v>
      </c>
      <c r="AJ130" s="54">
        <v>1670</v>
      </c>
      <c r="AK130" s="19">
        <v>50.1</v>
      </c>
      <c r="AL130" s="27">
        <v>0</v>
      </c>
      <c r="AM130" s="14" t="s">
        <v>707</v>
      </c>
      <c r="AN130" s="17" t="s">
        <v>93</v>
      </c>
      <c r="AO130" s="5" t="s">
        <v>708</v>
      </c>
      <c r="AP130" s="37" t="s">
        <v>709</v>
      </c>
      <c r="AQ130" s="29" t="str">
        <f t="shared" si="3"/>
        <v>20V(20Tím)</v>
      </c>
      <c r="AR130" s="29" t="str">
        <f t="shared" si="4"/>
        <v>20V</v>
      </c>
    </row>
    <row r="131" spans="1:44" ht="42" customHeight="1">
      <c r="A131" s="1">
        <v>449</v>
      </c>
      <c r="B131" s="12" t="s">
        <v>710</v>
      </c>
      <c r="C131" s="13" t="s">
        <v>909</v>
      </c>
      <c r="D131" s="14" t="s">
        <v>225</v>
      </c>
      <c r="E131" s="15">
        <v>40</v>
      </c>
      <c r="F131" s="15" t="s">
        <v>150</v>
      </c>
      <c r="G131" s="32" t="s">
        <v>93</v>
      </c>
      <c r="H131" s="14" t="s">
        <v>711</v>
      </c>
      <c r="I131" s="33" t="s">
        <v>30</v>
      </c>
      <c r="J131" s="17" t="s">
        <v>89</v>
      </c>
      <c r="K131" s="17" t="s">
        <v>90</v>
      </c>
      <c r="L131" s="17" t="s">
        <v>712</v>
      </c>
      <c r="M131" s="18" t="s">
        <v>103</v>
      </c>
      <c r="N131" s="18" t="s">
        <v>103</v>
      </c>
      <c r="O131" s="18">
        <v>1230</v>
      </c>
      <c r="P131" s="73">
        <v>185</v>
      </c>
      <c r="Q131" s="19">
        <v>1130</v>
      </c>
      <c r="R131" s="20"/>
      <c r="S131" s="21">
        <v>21</v>
      </c>
      <c r="T131" s="21">
        <v>27.8</v>
      </c>
      <c r="U131" s="22" t="s">
        <v>93</v>
      </c>
      <c r="V131" s="23">
        <v>680</v>
      </c>
      <c r="W131" s="24"/>
      <c r="X131" s="25">
        <v>780</v>
      </c>
      <c r="Y131" s="25">
        <v>930</v>
      </c>
      <c r="Z131" s="25">
        <v>980</v>
      </c>
      <c r="AA131" s="25">
        <v>700</v>
      </c>
      <c r="AB131" s="25">
        <v>700</v>
      </c>
      <c r="AC131" s="26"/>
      <c r="AD131" s="26"/>
      <c r="AE131" s="22">
        <v>1200</v>
      </c>
      <c r="AF131" s="51" t="s">
        <v>335</v>
      </c>
      <c r="AG131" s="54" t="s">
        <v>713</v>
      </c>
      <c r="AH131" s="17" t="s">
        <v>931</v>
      </c>
      <c r="AI131" s="17" t="s">
        <v>61</v>
      </c>
      <c r="AJ131" s="19">
        <v>1160</v>
      </c>
      <c r="AK131" s="19">
        <v>34.799999999999997</v>
      </c>
      <c r="AL131" s="27">
        <v>0</v>
      </c>
      <c r="AM131" s="14" t="s">
        <v>936</v>
      </c>
      <c r="AN131" s="34" t="s">
        <v>93</v>
      </c>
      <c r="AO131" s="5" t="s">
        <v>93</v>
      </c>
      <c r="AP131" s="28" t="s">
        <v>714</v>
      </c>
      <c r="AQ131" s="29" t="str">
        <f t="shared" si="3"/>
        <v>15R30Y(15ĐỎ30VÀNG)</v>
      </c>
      <c r="AR131" s="29" t="str">
        <f t="shared" si="4"/>
        <v>15R30Y</v>
      </c>
    </row>
    <row r="132" spans="1:44" ht="42" customHeight="1">
      <c r="A132" s="1">
        <v>450</v>
      </c>
      <c r="B132" s="12" t="s">
        <v>715</v>
      </c>
      <c r="C132" s="13" t="s">
        <v>910</v>
      </c>
      <c r="D132" s="14" t="s">
        <v>225</v>
      </c>
      <c r="E132" s="15">
        <v>40</v>
      </c>
      <c r="F132" s="15" t="s">
        <v>150</v>
      </c>
      <c r="G132" s="32" t="s">
        <v>93</v>
      </c>
      <c r="H132" s="14" t="s">
        <v>711</v>
      </c>
      <c r="I132" s="33" t="s">
        <v>30</v>
      </c>
      <c r="J132" s="17" t="s">
        <v>192</v>
      </c>
      <c r="K132" s="17" t="s">
        <v>193</v>
      </c>
      <c r="L132" s="17" t="s">
        <v>712</v>
      </c>
      <c r="M132" s="18" t="s">
        <v>103</v>
      </c>
      <c r="N132" s="18" t="s">
        <v>103</v>
      </c>
      <c r="O132" s="18">
        <v>1230</v>
      </c>
      <c r="P132" s="73">
        <v>185</v>
      </c>
      <c r="Q132" s="19">
        <v>1130</v>
      </c>
      <c r="R132" s="20">
        <v>1169.5999999999999</v>
      </c>
      <c r="S132" s="21">
        <v>21</v>
      </c>
      <c r="T132" s="21">
        <v>27.8</v>
      </c>
      <c r="U132" s="22" t="s">
        <v>93</v>
      </c>
      <c r="V132" s="23">
        <v>680</v>
      </c>
      <c r="W132" s="24"/>
      <c r="X132" s="25">
        <v>780</v>
      </c>
      <c r="Y132" s="25">
        <v>930</v>
      </c>
      <c r="Z132" s="25">
        <v>980</v>
      </c>
      <c r="AA132" s="25">
        <v>700</v>
      </c>
      <c r="AB132" s="25">
        <v>700</v>
      </c>
      <c r="AC132" s="26"/>
      <c r="AD132" s="26"/>
      <c r="AE132" s="22">
        <v>1200</v>
      </c>
      <c r="AF132" s="51" t="s">
        <v>335</v>
      </c>
      <c r="AG132" s="54" t="s">
        <v>713</v>
      </c>
      <c r="AH132" s="17" t="s">
        <v>931</v>
      </c>
      <c r="AI132" s="17" t="s">
        <v>61</v>
      </c>
      <c r="AJ132" s="19">
        <v>1160</v>
      </c>
      <c r="AK132" s="19">
        <v>34.799999999999997</v>
      </c>
      <c r="AL132" s="27">
        <v>35.087999999999994</v>
      </c>
      <c r="AM132" s="14" t="s">
        <v>936</v>
      </c>
      <c r="AN132" s="34" t="s">
        <v>93</v>
      </c>
      <c r="AO132" s="5" t="s">
        <v>93</v>
      </c>
      <c r="AP132" s="28" t="s">
        <v>714</v>
      </c>
      <c r="AQ132" s="29" t="str">
        <f t="shared" ref="AQ132:AQ149" si="5">SUBSTITUTE(SUBSTITUTE(SUBSTITUTE(SUBSTITUTE(AM132,"|","")," ",""),"-",""),"⁞","")</f>
        <v>15R30Y(15ĐỎ30VÀNG)</v>
      </c>
      <c r="AR132" s="29" t="str">
        <f t="shared" ref="AR132:AR149" si="6">TRIM(IF(LEFT(AQ132,1)="(",MID(AQ132,FIND(")",AQ132&amp;")")+1,999),LEFT(AQ132,FIND("(",AQ132&amp;"(")-1)))</f>
        <v>15R30Y</v>
      </c>
    </row>
    <row r="133" spans="1:44" ht="42" customHeight="1">
      <c r="A133" s="1">
        <v>451</v>
      </c>
      <c r="B133" s="51" t="s">
        <v>716</v>
      </c>
      <c r="C133" s="13" t="s">
        <v>911</v>
      </c>
      <c r="D133" s="53" t="s">
        <v>540</v>
      </c>
      <c r="E133" s="32" t="s">
        <v>93</v>
      </c>
      <c r="F133" s="32" t="s">
        <v>93</v>
      </c>
      <c r="G133" s="51" t="s">
        <v>717</v>
      </c>
      <c r="H133" s="28" t="s">
        <v>718</v>
      </c>
      <c r="I133" s="74" t="s">
        <v>93</v>
      </c>
      <c r="J133" s="75" t="s">
        <v>89</v>
      </c>
      <c r="K133" s="17" t="s">
        <v>90</v>
      </c>
      <c r="L133" s="51" t="s">
        <v>719</v>
      </c>
      <c r="M133" s="18" t="s">
        <v>790</v>
      </c>
      <c r="N133" s="18" t="s">
        <v>790</v>
      </c>
      <c r="O133" s="22">
        <v>217</v>
      </c>
      <c r="P133" s="54">
        <v>225</v>
      </c>
      <c r="Q133" s="17" t="s">
        <v>721</v>
      </c>
      <c r="R133" s="20"/>
      <c r="S133" s="71">
        <v>17</v>
      </c>
      <c r="T133" s="71">
        <v>23.4</v>
      </c>
      <c r="U133" s="22" t="s">
        <v>93</v>
      </c>
      <c r="V133" s="22">
        <v>460</v>
      </c>
      <c r="W133" s="24"/>
      <c r="X133" s="35">
        <v>470</v>
      </c>
      <c r="Y133" s="35">
        <v>970</v>
      </c>
      <c r="Z133" s="35">
        <v>980</v>
      </c>
      <c r="AA133" s="35">
        <v>700</v>
      </c>
      <c r="AB133" s="35">
        <v>700</v>
      </c>
      <c r="AC133" s="36"/>
      <c r="AD133" s="36"/>
      <c r="AE133" s="51" t="s">
        <v>720</v>
      </c>
      <c r="AF133" s="17" t="s">
        <v>93</v>
      </c>
      <c r="AG133" s="17" t="s">
        <v>93</v>
      </c>
      <c r="AH133" s="17" t="s">
        <v>93</v>
      </c>
      <c r="AI133" s="17"/>
      <c r="AJ133" s="54">
        <v>825</v>
      </c>
      <c r="AK133" s="54">
        <v>24.75</v>
      </c>
      <c r="AL133" s="27">
        <v>0</v>
      </c>
      <c r="AM133" s="14" t="s">
        <v>94</v>
      </c>
      <c r="AN133" s="17" t="s">
        <v>93</v>
      </c>
      <c r="AO133" s="76" t="s">
        <v>722</v>
      </c>
      <c r="AP133" s="37" t="s">
        <v>93</v>
      </c>
      <c r="AQ133" s="29" t="str">
        <f t="shared" si="5"/>
        <v/>
      </c>
      <c r="AR133" s="29" t="str">
        <f t="shared" si="6"/>
        <v/>
      </c>
    </row>
    <row r="134" spans="1:44" ht="42" customHeight="1">
      <c r="A134" s="1">
        <v>452</v>
      </c>
      <c r="B134" s="51" t="s">
        <v>723</v>
      </c>
      <c r="C134" s="13" t="s">
        <v>912</v>
      </c>
      <c r="D134" s="52" t="s">
        <v>724</v>
      </c>
      <c r="E134" s="51" t="s">
        <v>68</v>
      </c>
      <c r="F134" s="15" t="s">
        <v>150</v>
      </c>
      <c r="G134" s="32" t="s">
        <v>93</v>
      </c>
      <c r="H134" s="53" t="s">
        <v>725</v>
      </c>
      <c r="I134" s="16" t="s">
        <v>93</v>
      </c>
      <c r="J134" s="75" t="s">
        <v>192</v>
      </c>
      <c r="K134" s="17" t="s">
        <v>193</v>
      </c>
      <c r="L134" s="17" t="s">
        <v>726</v>
      </c>
      <c r="M134" s="18" t="s">
        <v>727</v>
      </c>
      <c r="N134" s="18" t="s">
        <v>633</v>
      </c>
      <c r="O134" s="54">
        <v>1200</v>
      </c>
      <c r="P134" s="54">
        <v>180</v>
      </c>
      <c r="Q134" s="54">
        <v>1315</v>
      </c>
      <c r="R134" s="20">
        <v>1369.55</v>
      </c>
      <c r="S134" s="56">
        <v>23</v>
      </c>
      <c r="T134" s="56">
        <v>20</v>
      </c>
      <c r="U134" s="33" t="s">
        <v>93</v>
      </c>
      <c r="V134" s="54">
        <v>640</v>
      </c>
      <c r="W134" s="24"/>
      <c r="X134" s="51" t="s">
        <v>687</v>
      </c>
      <c r="Y134" s="51" t="s">
        <v>289</v>
      </c>
      <c r="Z134" s="51" t="s">
        <v>599</v>
      </c>
      <c r="AA134" s="51" t="s">
        <v>731</v>
      </c>
      <c r="AB134" s="51" t="s">
        <v>291</v>
      </c>
      <c r="AC134" s="58"/>
      <c r="AD134" s="58"/>
      <c r="AE134" s="54">
        <v>1320</v>
      </c>
      <c r="AF134" s="51" t="s">
        <v>335</v>
      </c>
      <c r="AG134" s="54" t="s">
        <v>728</v>
      </c>
      <c r="AH134" s="17" t="s">
        <v>931</v>
      </c>
      <c r="AI134" s="54">
        <v>37</v>
      </c>
      <c r="AJ134" s="54">
        <v>1355</v>
      </c>
      <c r="AK134" s="19">
        <v>39.65</v>
      </c>
      <c r="AL134" s="27">
        <v>40.086499999999994</v>
      </c>
      <c r="AM134" s="14" t="s">
        <v>729</v>
      </c>
      <c r="AN134" s="77" t="s">
        <v>730</v>
      </c>
      <c r="AO134" s="5" t="s">
        <v>732</v>
      </c>
      <c r="AP134" s="37" t="s">
        <v>733</v>
      </c>
      <c r="AQ134" s="29" t="str">
        <f t="shared" si="5"/>
        <v>5G5R(5XLC5ĐỎ)</v>
      </c>
      <c r="AR134" s="29" t="str">
        <f t="shared" si="6"/>
        <v>5G5R</v>
      </c>
    </row>
    <row r="135" spans="1:44" ht="42" customHeight="1">
      <c r="A135" s="1">
        <v>453</v>
      </c>
      <c r="B135" s="51" t="s">
        <v>734</v>
      </c>
      <c r="C135" s="13" t="s">
        <v>913</v>
      </c>
      <c r="D135" s="52" t="s">
        <v>735</v>
      </c>
      <c r="E135" s="51" t="s">
        <v>73</v>
      </c>
      <c r="F135" s="15" t="s">
        <v>166</v>
      </c>
      <c r="G135" s="32" t="s">
        <v>93</v>
      </c>
      <c r="H135" s="53" t="s">
        <v>725</v>
      </c>
      <c r="I135" s="16" t="s">
        <v>30</v>
      </c>
      <c r="J135" s="75" t="s">
        <v>192</v>
      </c>
      <c r="K135" s="17" t="s">
        <v>193</v>
      </c>
      <c r="L135" s="17" t="s">
        <v>736</v>
      </c>
      <c r="M135" s="18" t="s">
        <v>727</v>
      </c>
      <c r="N135" s="18" t="s">
        <v>633</v>
      </c>
      <c r="O135" s="54">
        <v>870</v>
      </c>
      <c r="P135" s="54">
        <v>209</v>
      </c>
      <c r="Q135" s="54">
        <v>1290</v>
      </c>
      <c r="R135" s="20">
        <v>1335.2</v>
      </c>
      <c r="S135" s="56">
        <v>35</v>
      </c>
      <c r="T135" s="56">
        <v>23</v>
      </c>
      <c r="U135" s="33" t="s">
        <v>93</v>
      </c>
      <c r="V135" s="54">
        <v>680</v>
      </c>
      <c r="W135" s="24"/>
      <c r="X135" s="51" t="s">
        <v>660</v>
      </c>
      <c r="Y135" s="51" t="s">
        <v>290</v>
      </c>
      <c r="Z135" s="51" t="s">
        <v>290</v>
      </c>
      <c r="AA135" s="51" t="s">
        <v>731</v>
      </c>
      <c r="AB135" s="51" t="s">
        <v>291</v>
      </c>
      <c r="AC135" s="58"/>
      <c r="AD135" s="58"/>
      <c r="AE135" s="54">
        <v>1280</v>
      </c>
      <c r="AF135" s="51" t="s">
        <v>335</v>
      </c>
      <c r="AG135" s="54" t="s">
        <v>728</v>
      </c>
      <c r="AH135" s="17" t="s">
        <v>931</v>
      </c>
      <c r="AI135" s="54">
        <v>27</v>
      </c>
      <c r="AJ135" s="54">
        <v>1320</v>
      </c>
      <c r="AK135" s="19">
        <v>39.6</v>
      </c>
      <c r="AL135" s="27">
        <v>40.055999999999997</v>
      </c>
      <c r="AM135" s="14" t="s">
        <v>737</v>
      </c>
      <c r="AN135" s="77" t="s">
        <v>730</v>
      </c>
      <c r="AO135" s="5" t="s">
        <v>738</v>
      </c>
      <c r="AP135" s="37" t="s">
        <v>739</v>
      </c>
      <c r="AQ135" s="29" t="str">
        <f t="shared" si="5"/>
        <v>25V(25TÍM)</v>
      </c>
      <c r="AR135" s="29" t="str">
        <f t="shared" si="6"/>
        <v>25V</v>
      </c>
    </row>
    <row r="136" spans="1:44" ht="42" customHeight="1">
      <c r="A136" s="1">
        <v>454</v>
      </c>
      <c r="B136" s="51" t="s">
        <v>740</v>
      </c>
      <c r="C136" s="13" t="s">
        <v>914</v>
      </c>
      <c r="D136" s="52" t="s">
        <v>741</v>
      </c>
      <c r="E136" s="51" t="s">
        <v>698</v>
      </c>
      <c r="F136" s="15" t="s">
        <v>166</v>
      </c>
      <c r="G136" s="32" t="s">
        <v>93</v>
      </c>
      <c r="H136" s="53" t="s">
        <v>742</v>
      </c>
      <c r="I136" s="16" t="s">
        <v>30</v>
      </c>
      <c r="J136" s="75" t="s">
        <v>192</v>
      </c>
      <c r="K136" s="17" t="s">
        <v>193</v>
      </c>
      <c r="L136" s="17" t="s">
        <v>743</v>
      </c>
      <c r="M136" s="18" t="s">
        <v>727</v>
      </c>
      <c r="N136" s="18" t="s">
        <v>633</v>
      </c>
      <c r="O136" s="54">
        <v>880</v>
      </c>
      <c r="P136" s="54">
        <v>285</v>
      </c>
      <c r="Q136" s="54">
        <v>2140</v>
      </c>
      <c r="R136" s="20">
        <v>2230.1</v>
      </c>
      <c r="S136" s="56">
        <v>37</v>
      </c>
      <c r="T136" s="56">
        <v>24</v>
      </c>
      <c r="U136" s="33" t="s">
        <v>93</v>
      </c>
      <c r="V136" s="54">
        <v>380</v>
      </c>
      <c r="W136" s="24"/>
      <c r="X136" s="51" t="s">
        <v>660</v>
      </c>
      <c r="Y136" s="51" t="s">
        <v>668</v>
      </c>
      <c r="Z136" s="51" t="s">
        <v>290</v>
      </c>
      <c r="AA136" s="51" t="s">
        <v>746</v>
      </c>
      <c r="AB136" s="51" t="s">
        <v>291</v>
      </c>
      <c r="AC136" s="58"/>
      <c r="AD136" s="58"/>
      <c r="AE136" s="54">
        <v>1972</v>
      </c>
      <c r="AF136" s="51" t="s">
        <v>335</v>
      </c>
      <c r="AG136" s="54" t="s">
        <v>359</v>
      </c>
      <c r="AH136" s="17" t="s">
        <v>937</v>
      </c>
      <c r="AI136" s="54">
        <v>71</v>
      </c>
      <c r="AJ136" s="54">
        <v>2210</v>
      </c>
      <c r="AK136" s="19">
        <v>65.3</v>
      </c>
      <c r="AL136" s="27">
        <v>64.902999999999992</v>
      </c>
      <c r="AM136" s="14" t="s">
        <v>744</v>
      </c>
      <c r="AN136" s="77" t="s">
        <v>745</v>
      </c>
      <c r="AO136" s="5" t="s">
        <v>747</v>
      </c>
      <c r="AP136" s="37" t="s">
        <v>748</v>
      </c>
      <c r="AQ136" s="29" t="str">
        <f t="shared" si="5"/>
        <v>5B40R(5XDT40ĐỎ)</v>
      </c>
      <c r="AR136" s="29" t="str">
        <f t="shared" si="6"/>
        <v>5B40R</v>
      </c>
    </row>
    <row r="137" spans="1:44" ht="42" customHeight="1">
      <c r="A137" s="1">
        <v>455</v>
      </c>
      <c r="B137" s="51" t="s">
        <v>749</v>
      </c>
      <c r="C137" s="13" t="s">
        <v>915</v>
      </c>
      <c r="D137" s="52" t="s">
        <v>750</v>
      </c>
      <c r="E137" s="51" t="s">
        <v>78</v>
      </c>
      <c r="F137" s="15" t="s">
        <v>150</v>
      </c>
      <c r="G137" s="32" t="s">
        <v>93</v>
      </c>
      <c r="H137" s="53" t="s">
        <v>725</v>
      </c>
      <c r="I137" s="16" t="s">
        <v>93</v>
      </c>
      <c r="J137" s="75" t="s">
        <v>192</v>
      </c>
      <c r="K137" s="17" t="s">
        <v>193</v>
      </c>
      <c r="L137" s="17" t="s">
        <v>751</v>
      </c>
      <c r="M137" s="18" t="s">
        <v>727</v>
      </c>
      <c r="N137" s="18" t="s">
        <v>633</v>
      </c>
      <c r="O137" s="54">
        <v>1200</v>
      </c>
      <c r="P137" s="54">
        <v>207</v>
      </c>
      <c r="Q137" s="54">
        <v>1620</v>
      </c>
      <c r="R137" s="20">
        <v>1679.65</v>
      </c>
      <c r="S137" s="56">
        <v>30</v>
      </c>
      <c r="T137" s="56">
        <v>22</v>
      </c>
      <c r="U137" s="33" t="s">
        <v>93</v>
      </c>
      <c r="V137" s="54">
        <v>700</v>
      </c>
      <c r="W137" s="24"/>
      <c r="X137" s="51" t="s">
        <v>660</v>
      </c>
      <c r="Y137" s="51" t="s">
        <v>660</v>
      </c>
      <c r="Z137" s="51" t="s">
        <v>289</v>
      </c>
      <c r="AA137" s="51" t="s">
        <v>290</v>
      </c>
      <c r="AB137" s="51" t="s">
        <v>754</v>
      </c>
      <c r="AC137" s="58"/>
      <c r="AD137" s="58"/>
      <c r="AE137" s="54">
        <v>1553</v>
      </c>
      <c r="AF137" s="51" t="s">
        <v>335</v>
      </c>
      <c r="AG137" s="54" t="s">
        <v>752</v>
      </c>
      <c r="AH137" s="17" t="s">
        <v>931</v>
      </c>
      <c r="AI137" s="54">
        <v>45</v>
      </c>
      <c r="AJ137" s="54">
        <v>1665</v>
      </c>
      <c r="AK137" s="19">
        <v>49.949999999999996</v>
      </c>
      <c r="AL137" s="27">
        <v>50.389499999999998</v>
      </c>
      <c r="AM137" s="14" t="s">
        <v>753</v>
      </c>
      <c r="AN137" s="77" t="s">
        <v>730</v>
      </c>
      <c r="AO137" s="5" t="s">
        <v>755</v>
      </c>
      <c r="AP137" s="37" t="s">
        <v>748</v>
      </c>
      <c r="AQ137" s="29" t="str">
        <f t="shared" si="5"/>
        <v>25B(25XDT)</v>
      </c>
      <c r="AR137" s="29" t="str">
        <f t="shared" si="6"/>
        <v>25B</v>
      </c>
    </row>
    <row r="138" spans="1:44" ht="42" customHeight="1">
      <c r="A138" s="1">
        <v>456</v>
      </c>
      <c r="B138" s="51" t="s">
        <v>756</v>
      </c>
      <c r="C138" s="13" t="s">
        <v>916</v>
      </c>
      <c r="D138" s="52" t="s">
        <v>757</v>
      </c>
      <c r="E138" s="51" t="s">
        <v>93</v>
      </c>
      <c r="F138" s="15" t="s">
        <v>93</v>
      </c>
      <c r="G138" s="32" t="s">
        <v>93</v>
      </c>
      <c r="H138" s="53" t="s">
        <v>758</v>
      </c>
      <c r="I138" s="16" t="s">
        <v>93</v>
      </c>
      <c r="J138" s="75" t="s">
        <v>192</v>
      </c>
      <c r="K138" s="17" t="s">
        <v>193</v>
      </c>
      <c r="L138" s="17" t="s">
        <v>759</v>
      </c>
      <c r="M138" s="18" t="s">
        <v>760</v>
      </c>
      <c r="N138" s="18" t="s">
        <v>633</v>
      </c>
      <c r="O138" s="54">
        <v>750</v>
      </c>
      <c r="P138" s="54">
        <v>200</v>
      </c>
      <c r="Q138" s="54">
        <v>1785</v>
      </c>
      <c r="R138" s="20">
        <v>1850.3</v>
      </c>
      <c r="S138" s="56"/>
      <c r="T138" s="56"/>
      <c r="U138" s="33" t="s">
        <v>93</v>
      </c>
      <c r="V138" s="54">
        <v>700</v>
      </c>
      <c r="W138" s="24"/>
      <c r="X138" s="51"/>
      <c r="Y138" s="51"/>
      <c r="Z138" s="51"/>
      <c r="AA138" s="51"/>
      <c r="AB138" s="51"/>
      <c r="AC138" s="58"/>
      <c r="AD138" s="58"/>
      <c r="AE138" s="54" t="s">
        <v>93</v>
      </c>
      <c r="AF138" s="51" t="s">
        <v>335</v>
      </c>
      <c r="AG138" s="54" t="s">
        <v>728</v>
      </c>
      <c r="AH138" s="17" t="s">
        <v>938</v>
      </c>
      <c r="AI138" s="54">
        <v>47</v>
      </c>
      <c r="AJ138" s="54">
        <v>1830</v>
      </c>
      <c r="AK138" s="19">
        <v>54.9</v>
      </c>
      <c r="AL138" s="27">
        <v>54.508999999999993</v>
      </c>
      <c r="AM138" s="14" t="s">
        <v>761</v>
      </c>
      <c r="AN138" s="77" t="s">
        <v>762</v>
      </c>
      <c r="AO138" s="5" t="s">
        <v>93</v>
      </c>
      <c r="AP138" s="37" t="s">
        <v>763</v>
      </c>
      <c r="AQ138" s="29" t="str">
        <f t="shared" si="5"/>
        <v>10Y20G(10VÀNG20XLC)</v>
      </c>
      <c r="AR138" s="29" t="str">
        <f t="shared" si="6"/>
        <v>10Y20G</v>
      </c>
    </row>
    <row r="139" spans="1:44" ht="42" customHeight="1">
      <c r="A139" s="1">
        <v>457</v>
      </c>
      <c r="B139" s="12" t="s">
        <v>764</v>
      </c>
      <c r="C139" s="13" t="s">
        <v>917</v>
      </c>
      <c r="D139" s="14" t="s">
        <v>256</v>
      </c>
      <c r="E139" s="15">
        <v>46</v>
      </c>
      <c r="F139" s="15" t="s">
        <v>150</v>
      </c>
      <c r="G139" s="32" t="s">
        <v>93</v>
      </c>
      <c r="H139" s="14" t="s">
        <v>267</v>
      </c>
      <c r="I139" s="33" t="s">
        <v>30</v>
      </c>
      <c r="J139" s="75" t="s">
        <v>192</v>
      </c>
      <c r="K139" s="17" t="s">
        <v>193</v>
      </c>
      <c r="L139" s="17" t="s">
        <v>268</v>
      </c>
      <c r="M139" s="18" t="s">
        <v>263</v>
      </c>
      <c r="N139" s="18" t="s">
        <v>263</v>
      </c>
      <c r="O139" s="18">
        <v>1215</v>
      </c>
      <c r="P139" s="18">
        <v>195</v>
      </c>
      <c r="Q139" s="19">
        <v>2000</v>
      </c>
      <c r="R139" s="20">
        <v>2020</v>
      </c>
      <c r="S139" s="21">
        <v>45.8</v>
      </c>
      <c r="T139" s="21">
        <v>55</v>
      </c>
      <c r="U139" s="22" t="s">
        <v>93</v>
      </c>
      <c r="V139" s="22">
        <v>960</v>
      </c>
      <c r="W139" s="24"/>
      <c r="X139" s="35">
        <v>800</v>
      </c>
      <c r="Y139" s="35">
        <v>970</v>
      </c>
      <c r="Z139" s="35">
        <v>980</v>
      </c>
      <c r="AA139" s="25">
        <v>680</v>
      </c>
      <c r="AB139" s="35">
        <v>700</v>
      </c>
      <c r="AC139" s="36"/>
      <c r="AD139" s="36"/>
      <c r="AE139" s="22">
        <v>2100</v>
      </c>
      <c r="AF139" s="17" t="s">
        <v>93</v>
      </c>
      <c r="AG139" s="17" t="s">
        <v>93</v>
      </c>
      <c r="AH139" s="17" t="s">
        <v>93</v>
      </c>
      <c r="AI139" s="17"/>
      <c r="AJ139" s="19">
        <v>2000</v>
      </c>
      <c r="AK139" s="19">
        <v>60</v>
      </c>
      <c r="AL139" s="27">
        <v>59.599999999999994</v>
      </c>
      <c r="AM139" s="14" t="s">
        <v>269</v>
      </c>
      <c r="AN139" s="34" t="s">
        <v>93</v>
      </c>
      <c r="AO139" s="5" t="s">
        <v>270</v>
      </c>
      <c r="AP139" s="37" t="s">
        <v>271</v>
      </c>
      <c r="AQ139" s="29" t="str">
        <f t="shared" si="5"/>
        <v>15Y(15Vàng)</v>
      </c>
      <c r="AR139" s="29" t="str">
        <f t="shared" si="6"/>
        <v>15Y</v>
      </c>
    </row>
    <row r="140" spans="1:44" ht="42" customHeight="1">
      <c r="A140" s="1">
        <v>458</v>
      </c>
      <c r="B140" s="12" t="s">
        <v>765</v>
      </c>
      <c r="C140" s="13" t="s">
        <v>918</v>
      </c>
      <c r="D140" s="14" t="s">
        <v>256</v>
      </c>
      <c r="E140" s="15">
        <v>46</v>
      </c>
      <c r="F140" s="15" t="s">
        <v>150</v>
      </c>
      <c r="G140" s="32" t="s">
        <v>93</v>
      </c>
      <c r="H140" s="14" t="s">
        <v>766</v>
      </c>
      <c r="I140" s="33" t="s">
        <v>30</v>
      </c>
      <c r="J140" s="17" t="s">
        <v>89</v>
      </c>
      <c r="K140" s="17" t="s">
        <v>90</v>
      </c>
      <c r="L140" s="17" t="s">
        <v>281</v>
      </c>
      <c r="M140" s="18" t="s">
        <v>103</v>
      </c>
      <c r="N140" s="18" t="s">
        <v>103</v>
      </c>
      <c r="O140" s="18">
        <v>1225</v>
      </c>
      <c r="P140" s="18">
        <v>208</v>
      </c>
      <c r="Q140" s="19">
        <v>1775</v>
      </c>
      <c r="R140" s="20"/>
      <c r="S140" s="21">
        <v>38</v>
      </c>
      <c r="T140" s="21">
        <v>53</v>
      </c>
      <c r="U140" s="22" t="s">
        <v>93</v>
      </c>
      <c r="V140" s="23">
        <v>897</v>
      </c>
      <c r="W140" s="24"/>
      <c r="X140" s="25">
        <v>800</v>
      </c>
      <c r="Y140" s="25">
        <v>960</v>
      </c>
      <c r="Z140" s="25">
        <v>980</v>
      </c>
      <c r="AA140" s="25">
        <v>685</v>
      </c>
      <c r="AB140" s="25">
        <v>700</v>
      </c>
      <c r="AC140" s="26"/>
      <c r="AD140" s="26"/>
      <c r="AE140" s="22">
        <v>1770</v>
      </c>
      <c r="AF140" s="17" t="s">
        <v>93</v>
      </c>
      <c r="AG140" s="17" t="s">
        <v>93</v>
      </c>
      <c r="AH140" s="17" t="s">
        <v>93</v>
      </c>
      <c r="AI140" s="17"/>
      <c r="AJ140" s="19">
        <v>1775</v>
      </c>
      <c r="AK140" s="19">
        <v>55.25</v>
      </c>
      <c r="AL140" s="27">
        <v>0</v>
      </c>
      <c r="AM140" s="14" t="s">
        <v>282</v>
      </c>
      <c r="AN140" s="34" t="s">
        <v>93</v>
      </c>
      <c r="AO140" s="5" t="s">
        <v>283</v>
      </c>
      <c r="AP140" s="28" t="s">
        <v>284</v>
      </c>
      <c r="AQ140" s="29" t="str">
        <f t="shared" si="5"/>
        <v>15G10Y(15Xanhlácây10Vàng)</v>
      </c>
      <c r="AR140" s="29" t="str">
        <f t="shared" si="6"/>
        <v>15G10Y</v>
      </c>
    </row>
    <row r="141" spans="1:44" ht="42" customHeight="1">
      <c r="A141" s="1">
        <v>459</v>
      </c>
      <c r="B141" s="12" t="s">
        <v>767</v>
      </c>
      <c r="C141" s="13" t="s">
        <v>919</v>
      </c>
      <c r="D141" s="14" t="s">
        <v>181</v>
      </c>
      <c r="E141" s="15">
        <v>56</v>
      </c>
      <c r="F141" s="15" t="s">
        <v>166</v>
      </c>
      <c r="G141" s="32" t="s">
        <v>93</v>
      </c>
      <c r="H141" s="14" t="s">
        <v>171</v>
      </c>
      <c r="I141" s="33" t="s">
        <v>30</v>
      </c>
      <c r="J141" s="17" t="s">
        <v>192</v>
      </c>
      <c r="K141" s="17" t="s">
        <v>193</v>
      </c>
      <c r="L141" s="17" t="s">
        <v>182</v>
      </c>
      <c r="M141" s="18" t="s">
        <v>790</v>
      </c>
      <c r="N141" s="18" t="s">
        <v>790</v>
      </c>
      <c r="O141" s="18">
        <v>870</v>
      </c>
      <c r="P141" s="18">
        <v>270</v>
      </c>
      <c r="Q141" s="19">
        <v>1450</v>
      </c>
      <c r="R141" s="20">
        <v>1464.5</v>
      </c>
      <c r="S141" s="21">
        <v>26.4</v>
      </c>
      <c r="T141" s="21">
        <v>36</v>
      </c>
      <c r="U141" s="22" t="s">
        <v>93</v>
      </c>
      <c r="V141" s="22">
        <v>560</v>
      </c>
      <c r="W141" s="24"/>
      <c r="X141" s="35">
        <v>840</v>
      </c>
      <c r="Y141" s="35">
        <v>965</v>
      </c>
      <c r="Z141" s="35">
        <v>980</v>
      </c>
      <c r="AA141" s="25">
        <v>690</v>
      </c>
      <c r="AB141" s="35">
        <v>700</v>
      </c>
      <c r="AC141" s="36"/>
      <c r="AD141" s="36"/>
      <c r="AE141" s="22">
        <v>1470</v>
      </c>
      <c r="AF141" s="17" t="s">
        <v>93</v>
      </c>
      <c r="AG141" s="17" t="s">
        <v>93</v>
      </c>
      <c r="AH141" s="17" t="s">
        <v>93</v>
      </c>
      <c r="AI141" s="17"/>
      <c r="AJ141" s="19">
        <v>1450</v>
      </c>
      <c r="AK141" s="19">
        <v>44.5</v>
      </c>
      <c r="AL141" s="27">
        <v>44.934999999999995</v>
      </c>
      <c r="AM141" s="14" t="s">
        <v>183</v>
      </c>
      <c r="AN141" s="34" t="s">
        <v>927</v>
      </c>
      <c r="AO141" s="38" t="s">
        <v>184</v>
      </c>
      <c r="AP141" s="28" t="s">
        <v>93</v>
      </c>
      <c r="AQ141" s="29" t="str">
        <f t="shared" si="5"/>
        <v>(10Trắng15Trắng)10W15W</v>
      </c>
      <c r="AR141" s="29" t="str">
        <f t="shared" si="6"/>
        <v>10W15W</v>
      </c>
    </row>
    <row r="142" spans="1:44" ht="42" customHeight="1">
      <c r="A142" s="1">
        <v>460</v>
      </c>
      <c r="B142" s="12" t="s">
        <v>768</v>
      </c>
      <c r="C142" s="13" t="s">
        <v>920</v>
      </c>
      <c r="D142" s="14" t="s">
        <v>208</v>
      </c>
      <c r="E142" s="15">
        <v>44</v>
      </c>
      <c r="F142" s="15" t="s">
        <v>166</v>
      </c>
      <c r="G142" s="32" t="s">
        <v>93</v>
      </c>
      <c r="H142" s="14" t="s">
        <v>209</v>
      </c>
      <c r="I142" s="33" t="s">
        <v>30</v>
      </c>
      <c r="J142" s="17" t="s">
        <v>192</v>
      </c>
      <c r="K142" s="17" t="s">
        <v>193</v>
      </c>
      <c r="L142" s="17" t="s">
        <v>210</v>
      </c>
      <c r="M142" s="18" t="s">
        <v>790</v>
      </c>
      <c r="N142" s="18" t="s">
        <v>790</v>
      </c>
      <c r="O142" s="18">
        <v>1040</v>
      </c>
      <c r="P142" s="18">
        <v>230</v>
      </c>
      <c r="Q142" s="19">
        <v>1400</v>
      </c>
      <c r="R142" s="20">
        <v>1415</v>
      </c>
      <c r="S142" s="21">
        <v>27</v>
      </c>
      <c r="T142" s="21">
        <v>36</v>
      </c>
      <c r="U142" s="22" t="s">
        <v>93</v>
      </c>
      <c r="V142" s="23">
        <v>745</v>
      </c>
      <c r="W142" s="24"/>
      <c r="X142" s="25">
        <v>800</v>
      </c>
      <c r="Y142" s="25">
        <v>960</v>
      </c>
      <c r="Z142" s="25">
        <v>980</v>
      </c>
      <c r="AA142" s="25">
        <v>680</v>
      </c>
      <c r="AB142" s="25">
        <v>700</v>
      </c>
      <c r="AC142" s="26"/>
      <c r="AD142" s="26"/>
      <c r="AE142" s="22">
        <v>1410</v>
      </c>
      <c r="AF142" s="17" t="s">
        <v>93</v>
      </c>
      <c r="AG142" s="17" t="s">
        <v>93</v>
      </c>
      <c r="AH142" s="17" t="s">
        <v>93</v>
      </c>
      <c r="AI142" s="17"/>
      <c r="AJ142" s="19">
        <v>1400</v>
      </c>
      <c r="AK142" s="19">
        <v>40</v>
      </c>
      <c r="AL142" s="27">
        <v>40.449999999999996</v>
      </c>
      <c r="AM142" s="14" t="s">
        <v>177</v>
      </c>
      <c r="AN142" s="34" t="s">
        <v>927</v>
      </c>
      <c r="AO142" s="5" t="s">
        <v>211</v>
      </c>
      <c r="AP142" s="28" t="s">
        <v>93</v>
      </c>
      <c r="AQ142" s="29" t="str">
        <f t="shared" si="5"/>
        <v>15G(15Xanhlácây)</v>
      </c>
      <c r="AR142" s="29" t="str">
        <f t="shared" si="6"/>
        <v>15G</v>
      </c>
    </row>
    <row r="143" spans="1:44" ht="42" customHeight="1">
      <c r="A143" s="1">
        <v>461</v>
      </c>
      <c r="B143" s="12" t="s">
        <v>769</v>
      </c>
      <c r="C143" s="13" t="s">
        <v>921</v>
      </c>
      <c r="D143" s="14" t="s">
        <v>165</v>
      </c>
      <c r="E143" s="15">
        <v>53</v>
      </c>
      <c r="F143" s="15" t="s">
        <v>166</v>
      </c>
      <c r="G143" s="32" t="s">
        <v>93</v>
      </c>
      <c r="H143" s="14" t="s">
        <v>167</v>
      </c>
      <c r="I143" s="33" t="s">
        <v>30</v>
      </c>
      <c r="J143" s="17" t="s">
        <v>192</v>
      </c>
      <c r="K143" s="17" t="s">
        <v>193</v>
      </c>
      <c r="L143" s="17" t="s">
        <v>168</v>
      </c>
      <c r="M143" s="18" t="s">
        <v>790</v>
      </c>
      <c r="N143" s="18" t="s">
        <v>790</v>
      </c>
      <c r="O143" s="18">
        <v>880</v>
      </c>
      <c r="P143" s="18">
        <v>245</v>
      </c>
      <c r="Q143" s="19">
        <v>1775</v>
      </c>
      <c r="R143" s="20">
        <v>1794.75</v>
      </c>
      <c r="S143" s="21">
        <v>26</v>
      </c>
      <c r="T143" s="21">
        <v>36.6</v>
      </c>
      <c r="U143" s="22" t="s">
        <v>93</v>
      </c>
      <c r="V143" s="23">
        <v>700</v>
      </c>
      <c r="W143" s="24"/>
      <c r="X143" s="25">
        <v>680</v>
      </c>
      <c r="Y143" s="25">
        <v>970</v>
      </c>
      <c r="Z143" s="25">
        <v>980</v>
      </c>
      <c r="AA143" s="25">
        <v>700</v>
      </c>
      <c r="AB143" s="25">
        <v>700</v>
      </c>
      <c r="AC143" s="26"/>
      <c r="AD143" s="26"/>
      <c r="AE143" s="22">
        <v>1640</v>
      </c>
      <c r="AF143" s="17" t="s">
        <v>93</v>
      </c>
      <c r="AG143" s="17" t="s">
        <v>93</v>
      </c>
      <c r="AH143" s="17" t="s">
        <v>93</v>
      </c>
      <c r="AI143" s="17"/>
      <c r="AJ143" s="19">
        <v>1775</v>
      </c>
      <c r="AK143" s="19">
        <v>55.25</v>
      </c>
      <c r="AL143" s="27">
        <v>54.842500000000001</v>
      </c>
      <c r="AM143" s="14" t="s">
        <v>113</v>
      </c>
      <c r="AN143" s="22" t="s">
        <v>93</v>
      </c>
      <c r="AO143" s="5" t="s">
        <v>169</v>
      </c>
      <c r="AP143" s="28" t="s">
        <v>93</v>
      </c>
      <c r="AQ143" s="29" t="str">
        <f t="shared" si="5"/>
        <v>15R(15Đỏ)</v>
      </c>
      <c r="AR143" s="29" t="str">
        <f t="shared" si="6"/>
        <v>15R</v>
      </c>
    </row>
    <row r="144" spans="1:44" ht="42" customHeight="1">
      <c r="A144" s="1">
        <v>462</v>
      </c>
      <c r="B144" s="12" t="s">
        <v>770</v>
      </c>
      <c r="C144" s="13" t="s">
        <v>922</v>
      </c>
      <c r="D144" s="14" t="s">
        <v>165</v>
      </c>
      <c r="E144" s="15">
        <v>53</v>
      </c>
      <c r="F144" s="15" t="s">
        <v>166</v>
      </c>
      <c r="G144" s="32" t="s">
        <v>93</v>
      </c>
      <c r="H144" s="14" t="s">
        <v>171</v>
      </c>
      <c r="I144" s="33" t="s">
        <v>30</v>
      </c>
      <c r="J144" s="17" t="s">
        <v>192</v>
      </c>
      <c r="K144" s="17" t="s">
        <v>193</v>
      </c>
      <c r="L144" s="17" t="s">
        <v>168</v>
      </c>
      <c r="M144" s="18" t="s">
        <v>790</v>
      </c>
      <c r="N144" s="18" t="s">
        <v>790</v>
      </c>
      <c r="O144" s="18">
        <v>880</v>
      </c>
      <c r="P144" s="18">
        <v>245</v>
      </c>
      <c r="Q144" s="19">
        <v>1775</v>
      </c>
      <c r="R144" s="20">
        <v>1794.75</v>
      </c>
      <c r="S144" s="21">
        <v>26</v>
      </c>
      <c r="T144" s="21">
        <v>36.6</v>
      </c>
      <c r="U144" s="22" t="s">
        <v>93</v>
      </c>
      <c r="V144" s="23">
        <v>700</v>
      </c>
      <c r="W144" s="24"/>
      <c r="X144" s="25">
        <v>680</v>
      </c>
      <c r="Y144" s="25">
        <v>970</v>
      </c>
      <c r="Z144" s="25">
        <v>980</v>
      </c>
      <c r="AA144" s="25">
        <v>700</v>
      </c>
      <c r="AB144" s="25">
        <v>700</v>
      </c>
      <c r="AC144" s="26"/>
      <c r="AD144" s="26"/>
      <c r="AE144" s="22">
        <v>1770</v>
      </c>
      <c r="AF144" s="17" t="s">
        <v>93</v>
      </c>
      <c r="AG144" s="17" t="s">
        <v>93</v>
      </c>
      <c r="AH144" s="17" t="s">
        <v>93</v>
      </c>
      <c r="AI144" s="17"/>
      <c r="AJ144" s="19">
        <v>1775</v>
      </c>
      <c r="AK144" s="19">
        <v>55.25</v>
      </c>
      <c r="AL144" s="27">
        <v>54.842500000000001</v>
      </c>
      <c r="AM144" s="14" t="s">
        <v>159</v>
      </c>
      <c r="AN144" s="34" t="s">
        <v>172</v>
      </c>
      <c r="AO144" s="5" t="s">
        <v>173</v>
      </c>
      <c r="AP144" s="28" t="s">
        <v>93</v>
      </c>
      <c r="AQ144" s="29" t="str">
        <f t="shared" si="5"/>
        <v>15B(15XDT)</v>
      </c>
      <c r="AR144" s="29" t="str">
        <f t="shared" si="6"/>
        <v>15B</v>
      </c>
    </row>
    <row r="145" spans="1:44" ht="42" customHeight="1">
      <c r="A145" s="1">
        <v>463</v>
      </c>
      <c r="B145" s="51" t="s">
        <v>771</v>
      </c>
      <c r="C145" s="13" t="s">
        <v>923</v>
      </c>
      <c r="D145" s="52" t="s">
        <v>772</v>
      </c>
      <c r="E145" s="51" t="s">
        <v>73</v>
      </c>
      <c r="F145" s="15" t="s">
        <v>86</v>
      </c>
      <c r="G145" s="32" t="s">
        <v>93</v>
      </c>
      <c r="H145" s="53" t="s">
        <v>773</v>
      </c>
      <c r="I145" s="16" t="s">
        <v>30</v>
      </c>
      <c r="J145" s="75" t="s">
        <v>192</v>
      </c>
      <c r="K145" s="17" t="s">
        <v>193</v>
      </c>
      <c r="L145" s="17" t="s">
        <v>774</v>
      </c>
      <c r="M145" s="18" t="s">
        <v>775</v>
      </c>
      <c r="N145" s="18" t="s">
        <v>633</v>
      </c>
      <c r="O145" s="54">
        <v>750</v>
      </c>
      <c r="P145" s="54">
        <v>321</v>
      </c>
      <c r="Q145" s="54">
        <v>2070</v>
      </c>
      <c r="R145" s="20">
        <v>2135.1</v>
      </c>
      <c r="S145" s="56">
        <v>55</v>
      </c>
      <c r="T145" s="56">
        <v>32</v>
      </c>
      <c r="U145" s="33" t="s">
        <v>93</v>
      </c>
      <c r="V145" s="78">
        <v>455</v>
      </c>
      <c r="W145" s="24"/>
      <c r="X145" s="51" t="s">
        <v>778</v>
      </c>
      <c r="Y145" s="51" t="s">
        <v>290</v>
      </c>
      <c r="Z145" s="51" t="s">
        <v>779</v>
      </c>
      <c r="AA145" s="51" t="s">
        <v>754</v>
      </c>
      <c r="AB145" s="51" t="s">
        <v>291</v>
      </c>
      <c r="AC145" s="58"/>
      <c r="AD145" s="58"/>
      <c r="AE145" s="54">
        <v>2110</v>
      </c>
      <c r="AF145" s="51" t="s">
        <v>335</v>
      </c>
      <c r="AG145" s="54" t="s">
        <v>686</v>
      </c>
      <c r="AH145" s="17" t="s">
        <v>931</v>
      </c>
      <c r="AI145" s="54">
        <v>39</v>
      </c>
      <c r="AJ145" s="54">
        <v>2110</v>
      </c>
      <c r="AK145" s="19">
        <v>65.3</v>
      </c>
      <c r="AL145" s="27">
        <v>65.052999999999997</v>
      </c>
      <c r="AM145" s="14" t="s">
        <v>776</v>
      </c>
      <c r="AN145" s="77" t="s">
        <v>777</v>
      </c>
      <c r="AO145" s="5" t="s">
        <v>780</v>
      </c>
      <c r="AP145" s="37" t="s">
        <v>781</v>
      </c>
      <c r="AQ145" s="29" t="str">
        <f t="shared" si="5"/>
        <v>5V10V(5TÍM10TÍM)</v>
      </c>
      <c r="AR145" s="29" t="str">
        <f t="shared" si="6"/>
        <v>5V10V</v>
      </c>
    </row>
    <row r="146" spans="1:44" ht="42" customHeight="1">
      <c r="A146" s="1">
        <v>464</v>
      </c>
      <c r="B146" s="12" t="s">
        <v>782</v>
      </c>
      <c r="C146" s="13" t="s">
        <v>836</v>
      </c>
      <c r="D146" s="14" t="s">
        <v>294</v>
      </c>
      <c r="E146" s="15">
        <v>57</v>
      </c>
      <c r="F146" s="15" t="s">
        <v>150</v>
      </c>
      <c r="G146" s="32" t="s">
        <v>93</v>
      </c>
      <c r="H146" s="14" t="s">
        <v>301</v>
      </c>
      <c r="I146" s="33" t="s">
        <v>30</v>
      </c>
      <c r="J146" s="17" t="s">
        <v>89</v>
      </c>
      <c r="K146" s="17" t="s">
        <v>90</v>
      </c>
      <c r="L146" s="17" t="s">
        <v>302</v>
      </c>
      <c r="M146" s="18" t="s">
        <v>92</v>
      </c>
      <c r="N146" s="18" t="s">
        <v>92</v>
      </c>
      <c r="O146" s="18">
        <v>1230</v>
      </c>
      <c r="P146" s="18">
        <v>233</v>
      </c>
      <c r="Q146" s="19">
        <v>2360</v>
      </c>
      <c r="R146" s="20"/>
      <c r="S146" s="21">
        <v>50</v>
      </c>
      <c r="T146" s="21">
        <v>66</v>
      </c>
      <c r="U146" s="22" t="s">
        <v>93</v>
      </c>
      <c r="V146" s="22">
        <v>963</v>
      </c>
      <c r="W146" s="24"/>
      <c r="X146" s="35">
        <v>800</v>
      </c>
      <c r="Y146" s="35">
        <v>940</v>
      </c>
      <c r="Z146" s="35">
        <v>980</v>
      </c>
      <c r="AA146" s="25">
        <v>680</v>
      </c>
      <c r="AB146" s="35">
        <v>700</v>
      </c>
      <c r="AC146" s="36"/>
      <c r="AD146" s="36"/>
      <c r="AE146" s="22">
        <v>2390</v>
      </c>
      <c r="AF146" s="17" t="s">
        <v>93</v>
      </c>
      <c r="AG146" s="17" t="s">
        <v>93</v>
      </c>
      <c r="AH146" s="17" t="s">
        <v>93</v>
      </c>
      <c r="AI146" s="17"/>
      <c r="AJ146" s="19">
        <v>2360</v>
      </c>
      <c r="AK146" s="19">
        <v>69.8</v>
      </c>
      <c r="AL146" s="27">
        <v>0</v>
      </c>
      <c r="AM146" s="14" t="s">
        <v>303</v>
      </c>
      <c r="AN146" s="17" t="s">
        <v>93</v>
      </c>
      <c r="AO146" s="5" t="s">
        <v>304</v>
      </c>
      <c r="AP146" s="39" t="s">
        <v>305</v>
      </c>
      <c r="AQ146" s="29" t="str">
        <f t="shared" si="5"/>
        <v>15B10B(15XDT10XDT)</v>
      </c>
      <c r="AR146" s="29" t="str">
        <f t="shared" si="6"/>
        <v>15B10B</v>
      </c>
    </row>
    <row r="147" spans="1:44" ht="42" customHeight="1">
      <c r="A147" s="1">
        <v>465</v>
      </c>
      <c r="B147" s="12" t="s">
        <v>783</v>
      </c>
      <c r="C147" s="13" t="s">
        <v>924</v>
      </c>
      <c r="D147" s="14" t="s">
        <v>340</v>
      </c>
      <c r="E147" s="15">
        <v>43</v>
      </c>
      <c r="F147" s="15" t="s">
        <v>150</v>
      </c>
      <c r="G147" s="32" t="s">
        <v>93</v>
      </c>
      <c r="H147" s="14" t="s">
        <v>276</v>
      </c>
      <c r="I147" s="33" t="s">
        <v>30</v>
      </c>
      <c r="J147" s="17" t="s">
        <v>192</v>
      </c>
      <c r="K147" s="17" t="s">
        <v>193</v>
      </c>
      <c r="L147" s="17" t="s">
        <v>352</v>
      </c>
      <c r="M147" s="18" t="s">
        <v>92</v>
      </c>
      <c r="N147" s="18" t="s">
        <v>92</v>
      </c>
      <c r="O147" s="18">
        <v>1360</v>
      </c>
      <c r="P147" s="18">
        <v>176</v>
      </c>
      <c r="Q147" s="19">
        <v>1500</v>
      </c>
      <c r="R147" s="20">
        <v>1515</v>
      </c>
      <c r="S147" s="21">
        <v>24</v>
      </c>
      <c r="T147" s="21">
        <v>36</v>
      </c>
      <c r="U147" s="22">
        <v>14</v>
      </c>
      <c r="V147" s="22">
        <v>799</v>
      </c>
      <c r="W147" s="24"/>
      <c r="X147" s="35">
        <v>800</v>
      </c>
      <c r="Y147" s="35">
        <v>900</v>
      </c>
      <c r="Z147" s="35">
        <v>980</v>
      </c>
      <c r="AA147" s="35">
        <v>680</v>
      </c>
      <c r="AB147" s="35">
        <v>700</v>
      </c>
      <c r="AC147" s="36"/>
      <c r="AD147" s="36"/>
      <c r="AE147" s="22">
        <v>1540</v>
      </c>
      <c r="AF147" s="17" t="s">
        <v>93</v>
      </c>
      <c r="AG147" s="17" t="s">
        <v>93</v>
      </c>
      <c r="AH147" s="17" t="s">
        <v>93</v>
      </c>
      <c r="AI147" s="41"/>
      <c r="AJ147" s="19">
        <v>1500</v>
      </c>
      <c r="AK147" s="19">
        <v>45</v>
      </c>
      <c r="AL147" s="27">
        <v>45.449999999999996</v>
      </c>
      <c r="AM147" s="14" t="s">
        <v>353</v>
      </c>
      <c r="AN147" s="17" t="s">
        <v>93</v>
      </c>
      <c r="AO147" s="5" t="s">
        <v>354</v>
      </c>
      <c r="AP147" s="37" t="s">
        <v>179</v>
      </c>
      <c r="AQ147" s="29" t="str">
        <f t="shared" si="5"/>
        <v>10W25R(10Trắng25Đỏ)</v>
      </c>
      <c r="AR147" s="29" t="str">
        <f t="shared" si="6"/>
        <v>10W25R</v>
      </c>
    </row>
    <row r="148" spans="1:44" ht="42" customHeight="1">
      <c r="A148" s="1">
        <v>466</v>
      </c>
      <c r="B148" s="12" t="s">
        <v>784</v>
      </c>
      <c r="C148" s="13" t="s">
        <v>925</v>
      </c>
      <c r="D148" s="14" t="s">
        <v>785</v>
      </c>
      <c r="E148" s="15">
        <v>58</v>
      </c>
      <c r="F148" s="15" t="s">
        <v>166</v>
      </c>
      <c r="G148" s="32" t="s">
        <v>93</v>
      </c>
      <c r="H148" s="14" t="s">
        <v>742</v>
      </c>
      <c r="I148" s="33" t="s">
        <v>30</v>
      </c>
      <c r="J148" s="17" t="s">
        <v>192</v>
      </c>
      <c r="K148" s="17" t="s">
        <v>193</v>
      </c>
      <c r="L148" s="17" t="s">
        <v>786</v>
      </c>
      <c r="M148" s="18" t="s">
        <v>727</v>
      </c>
      <c r="N148" s="18" t="s">
        <v>633</v>
      </c>
      <c r="O148" s="18">
        <v>880</v>
      </c>
      <c r="P148" s="18">
        <v>230</v>
      </c>
      <c r="Q148" s="19">
        <v>1570</v>
      </c>
      <c r="R148" s="20">
        <v>1669.55</v>
      </c>
      <c r="S148" s="21"/>
      <c r="T148" s="21"/>
      <c r="U148" s="22" t="s">
        <v>93</v>
      </c>
      <c r="V148" s="22"/>
      <c r="W148" s="24"/>
      <c r="X148" s="35"/>
      <c r="Y148" s="35"/>
      <c r="Z148" s="35"/>
      <c r="AA148" s="35"/>
      <c r="AB148" s="35"/>
      <c r="AC148" s="36"/>
      <c r="AD148" s="36"/>
      <c r="AE148" s="22"/>
      <c r="AF148" s="51" t="s">
        <v>335</v>
      </c>
      <c r="AG148" s="54" t="s">
        <v>787</v>
      </c>
      <c r="AH148" s="17" t="s">
        <v>938</v>
      </c>
      <c r="AI148" s="54">
        <v>82</v>
      </c>
      <c r="AJ148" s="54">
        <v>1655</v>
      </c>
      <c r="AK148" s="19">
        <v>49.65</v>
      </c>
      <c r="AL148" s="27">
        <v>50.086499999999994</v>
      </c>
      <c r="AM148" s="14"/>
      <c r="AN148" s="17" t="s">
        <v>93</v>
      </c>
      <c r="AO148" s="5"/>
      <c r="AP148" s="37" t="s">
        <v>788</v>
      </c>
      <c r="AQ148" s="29" t="str">
        <f t="shared" si="5"/>
        <v/>
      </c>
      <c r="AR148" s="29" t="str">
        <f t="shared" si="6"/>
        <v/>
      </c>
    </row>
    <row r="149" spans="1:44" ht="42" customHeight="1">
      <c r="A149" s="1">
        <v>467</v>
      </c>
      <c r="B149" s="51" t="s">
        <v>789</v>
      </c>
      <c r="C149" s="13" t="s">
        <v>926</v>
      </c>
      <c r="D149" s="52" t="s">
        <v>772</v>
      </c>
      <c r="E149" s="51" t="s">
        <v>77</v>
      </c>
      <c r="F149" s="15" t="s">
        <v>86</v>
      </c>
      <c r="G149" s="32" t="s">
        <v>93</v>
      </c>
      <c r="H149" s="53" t="s">
        <v>742</v>
      </c>
      <c r="I149" s="16" t="s">
        <v>30</v>
      </c>
      <c r="J149" s="75" t="s">
        <v>192</v>
      </c>
      <c r="K149" s="17" t="s">
        <v>193</v>
      </c>
      <c r="L149" s="17" t="s">
        <v>786</v>
      </c>
      <c r="M149" s="18"/>
      <c r="N149" s="18"/>
      <c r="O149" s="54"/>
      <c r="P149" s="54"/>
      <c r="Q149" s="54">
        <v>2070</v>
      </c>
      <c r="R149" s="20">
        <v>2135.1</v>
      </c>
      <c r="S149" s="56"/>
      <c r="T149" s="56"/>
      <c r="U149" s="33" t="s">
        <v>93</v>
      </c>
      <c r="V149" s="78">
        <v>455</v>
      </c>
      <c r="W149" s="24"/>
      <c r="X149" s="51" t="s">
        <v>778</v>
      </c>
      <c r="Y149" s="51" t="s">
        <v>290</v>
      </c>
      <c r="Z149" s="51" t="s">
        <v>779</v>
      </c>
      <c r="AA149" s="51" t="s">
        <v>754</v>
      </c>
      <c r="AB149" s="51" t="s">
        <v>291</v>
      </c>
      <c r="AC149" s="58"/>
      <c r="AD149" s="58"/>
      <c r="AE149" s="54">
        <v>2110</v>
      </c>
      <c r="AF149" s="51" t="s">
        <v>335</v>
      </c>
      <c r="AG149" s="54" t="s">
        <v>686</v>
      </c>
      <c r="AH149" s="17" t="s">
        <v>931</v>
      </c>
      <c r="AI149" s="54">
        <v>39</v>
      </c>
      <c r="AJ149" s="54">
        <v>2110</v>
      </c>
      <c r="AK149" s="19">
        <v>65.3</v>
      </c>
      <c r="AL149" s="27">
        <v>65.052999999999997</v>
      </c>
      <c r="AM149" s="14" t="s">
        <v>776</v>
      </c>
      <c r="AN149" s="77" t="s">
        <v>777</v>
      </c>
      <c r="AO149" s="5" t="s">
        <v>93</v>
      </c>
      <c r="AP149" s="37" t="s">
        <v>781</v>
      </c>
      <c r="AQ149" s="29" t="str">
        <f t="shared" si="5"/>
        <v>5V10V(5TÍM10TÍM)</v>
      </c>
      <c r="AR149" s="29" t="str">
        <f t="shared" si="6"/>
        <v>5V10V</v>
      </c>
    </row>
    <row r="150" spans="1:44">
      <c r="S150" s="9"/>
    </row>
    <row r="151" spans="1:44">
      <c r="R151" s="80"/>
      <c r="S151" s="9"/>
    </row>
    <row r="152" spans="1:44">
      <c r="S152" s="9"/>
      <c r="AF152" s="11"/>
    </row>
    <row r="153" spans="1:44">
      <c r="S153" s="9"/>
      <c r="AF153" s="11"/>
    </row>
  </sheetData>
  <autoFilter ref="A1:AS1" xr:uid="{D85CF911-C766-4E02-A6E5-6954779ABBB6}"/>
  <phoneticPr fontId="8" type="noConversion"/>
  <conditionalFormatting sqref="B1:B1048576">
    <cfRule type="duplicateValues" dxfId="7" priority="1"/>
    <cfRule type="duplicateValues" dxfId="6" priority="3"/>
    <cfRule type="duplicateValues" dxfId="5" priority="4"/>
  </conditionalFormatting>
  <printOptions horizontalCentered="1"/>
  <pageMargins left="0" right="0" top="0.17" bottom="0" header="0" footer="0"/>
  <pageSetup paperSize="8" scale="31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1F242-9F9C-4D0F-8E3A-EEDFE8A4A1E2}">
  <sheetPr codeName="Sheet2"/>
  <dimension ref="B1:AF357"/>
  <sheetViews>
    <sheetView tabSelected="1" workbookViewId="0">
      <selection activeCell="C28" sqref="C28"/>
    </sheetView>
  </sheetViews>
  <sheetFormatPr defaultRowHeight="12.75"/>
  <cols>
    <col min="1" max="1" width="6.140625" customWidth="1"/>
    <col min="2" max="2" width="11.5703125" bestFit="1" customWidth="1"/>
    <col min="3" max="3" width="29.28515625" bestFit="1" customWidth="1"/>
    <col min="4" max="4" width="11" bestFit="1" customWidth="1"/>
    <col min="5" max="5" width="16" bestFit="1" customWidth="1"/>
    <col min="6" max="6" width="15.7109375" bestFit="1" customWidth="1"/>
    <col min="7" max="7" width="15.5703125" bestFit="1" customWidth="1"/>
    <col min="8" max="9" width="9" bestFit="1" customWidth="1"/>
    <col min="10" max="10" width="9.42578125" bestFit="1" customWidth="1"/>
    <col min="11" max="11" width="21.5703125" bestFit="1" customWidth="1"/>
    <col min="12" max="12" width="21.42578125" bestFit="1" customWidth="1"/>
    <col min="13" max="13" width="18.140625" bestFit="1" customWidth="1"/>
    <col min="14" max="14" width="16.5703125" bestFit="1" customWidth="1"/>
    <col min="15" max="16" width="17.5703125" bestFit="1" customWidth="1"/>
    <col min="17" max="17" width="22.140625" bestFit="1" customWidth="1"/>
    <col min="18" max="18" width="24.140625" bestFit="1" customWidth="1"/>
    <col min="19" max="19" width="11.85546875" bestFit="1" customWidth="1"/>
    <col min="20" max="20" width="17.42578125" bestFit="1" customWidth="1"/>
    <col min="21" max="21" width="20.85546875" bestFit="1" customWidth="1"/>
    <col min="22" max="22" width="14.42578125" bestFit="1" customWidth="1"/>
    <col min="23" max="23" width="18" bestFit="1" customWidth="1"/>
    <col min="24" max="24" width="17.7109375" bestFit="1" customWidth="1"/>
    <col min="25" max="25" width="16.28515625" bestFit="1" customWidth="1"/>
    <col min="26" max="26" width="18.140625" bestFit="1" customWidth="1"/>
    <col min="27" max="27" width="16.28515625" customWidth="1"/>
    <col min="28" max="28" width="11.42578125" bestFit="1" customWidth="1"/>
    <col min="29" max="29" width="7.85546875" bestFit="1" customWidth="1"/>
    <col min="30" max="30" width="18.85546875" customWidth="1"/>
    <col min="31" max="31" width="11" bestFit="1" customWidth="1"/>
    <col min="32" max="32" width="15.5703125" bestFit="1" customWidth="1"/>
  </cols>
  <sheetData>
    <row r="1" spans="2:32" ht="36.75" customHeight="1"/>
    <row r="2" spans="2:32" ht="39.75" customHeight="1">
      <c r="B2" s="83" t="s">
        <v>945</v>
      </c>
      <c r="C2" s="83" t="s">
        <v>946</v>
      </c>
      <c r="D2" s="83" t="s">
        <v>947</v>
      </c>
      <c r="E2" s="83" t="s">
        <v>948</v>
      </c>
      <c r="F2" s="83" t="s">
        <v>949</v>
      </c>
      <c r="G2" s="83" t="s">
        <v>950</v>
      </c>
      <c r="H2" s="83" t="s">
        <v>951</v>
      </c>
      <c r="I2" s="83" t="s">
        <v>952</v>
      </c>
      <c r="J2" s="83" t="s">
        <v>953</v>
      </c>
      <c r="K2" s="83" t="s">
        <v>954</v>
      </c>
      <c r="L2" s="83" t="s">
        <v>955</v>
      </c>
      <c r="M2" s="83" t="s">
        <v>956</v>
      </c>
      <c r="N2" s="83" t="s">
        <v>957</v>
      </c>
      <c r="O2" s="83" t="s">
        <v>958</v>
      </c>
      <c r="P2" s="83" t="s">
        <v>959</v>
      </c>
      <c r="Q2" s="83" t="s">
        <v>960</v>
      </c>
      <c r="R2" s="83" t="s">
        <v>961</v>
      </c>
      <c r="S2" s="83" t="s">
        <v>962</v>
      </c>
      <c r="T2" s="83" t="s">
        <v>963</v>
      </c>
      <c r="U2" s="83" t="s">
        <v>964</v>
      </c>
      <c r="V2" s="83" t="s">
        <v>965</v>
      </c>
      <c r="W2" s="83" t="s">
        <v>966</v>
      </c>
      <c r="X2" s="83" t="s">
        <v>967</v>
      </c>
      <c r="Y2" s="83" t="s">
        <v>968</v>
      </c>
      <c r="Z2" s="83" t="s">
        <v>969</v>
      </c>
      <c r="AA2" s="83" t="s">
        <v>970</v>
      </c>
      <c r="AB2" s="83" t="s">
        <v>971</v>
      </c>
      <c r="AC2" s="83" t="s">
        <v>972</v>
      </c>
      <c r="AD2" s="83" t="s">
        <v>973</v>
      </c>
      <c r="AE2" s="83" t="s">
        <v>974</v>
      </c>
      <c r="AF2" s="83" t="s">
        <v>975</v>
      </c>
    </row>
    <row r="3" spans="2:32">
      <c r="B3" s="81" t="s">
        <v>84</v>
      </c>
      <c r="C3" s="81" t="s">
        <v>976</v>
      </c>
      <c r="D3" s="81" t="s">
        <v>90</v>
      </c>
      <c r="E3" s="81" t="s">
        <v>91</v>
      </c>
      <c r="F3" s="81" t="s">
        <v>790</v>
      </c>
      <c r="G3" s="81" t="s">
        <v>790</v>
      </c>
      <c r="H3">
        <v>1420</v>
      </c>
      <c r="I3">
        <v>157</v>
      </c>
      <c r="J3">
        <v>860</v>
      </c>
      <c r="K3">
        <v>17.3</v>
      </c>
      <c r="L3">
        <v>24.2</v>
      </c>
      <c r="M3">
        <v>970</v>
      </c>
      <c r="O3">
        <v>820</v>
      </c>
      <c r="P3">
        <v>940</v>
      </c>
      <c r="Q3">
        <v>980</v>
      </c>
      <c r="R3">
        <v>670</v>
      </c>
      <c r="S3">
        <v>700</v>
      </c>
      <c r="V3">
        <v>890</v>
      </c>
      <c r="AA3">
        <v>860</v>
      </c>
      <c r="AB3">
        <v>24.8</v>
      </c>
      <c r="AC3" s="81"/>
      <c r="AD3" s="81"/>
      <c r="AE3" s="81" t="s">
        <v>95</v>
      </c>
      <c r="AF3" s="81"/>
    </row>
    <row r="4" spans="2:32">
      <c r="B4" s="81" t="s">
        <v>96</v>
      </c>
      <c r="C4" s="81" t="s">
        <v>977</v>
      </c>
      <c r="D4" s="81" t="s">
        <v>90</v>
      </c>
      <c r="E4" s="81" t="s">
        <v>91</v>
      </c>
      <c r="F4" s="81" t="s">
        <v>790</v>
      </c>
      <c r="G4" s="81" t="s">
        <v>790</v>
      </c>
      <c r="H4">
        <v>1420</v>
      </c>
      <c r="I4">
        <v>157</v>
      </c>
      <c r="J4">
        <v>860</v>
      </c>
      <c r="K4">
        <v>17.3</v>
      </c>
      <c r="L4">
        <v>24.2</v>
      </c>
      <c r="M4">
        <v>970</v>
      </c>
      <c r="O4">
        <v>820</v>
      </c>
      <c r="P4">
        <v>940</v>
      </c>
      <c r="Q4">
        <v>980</v>
      </c>
      <c r="R4">
        <v>670</v>
      </c>
      <c r="S4">
        <v>700</v>
      </c>
      <c r="V4">
        <v>890</v>
      </c>
      <c r="AA4">
        <v>860</v>
      </c>
      <c r="AB4">
        <v>24.8</v>
      </c>
      <c r="AC4" s="81" t="s">
        <v>1102</v>
      </c>
      <c r="AD4" s="81"/>
      <c r="AE4" s="81" t="s">
        <v>99</v>
      </c>
      <c r="AF4" s="81"/>
    </row>
    <row r="5" spans="2:32">
      <c r="B5" s="81" t="s">
        <v>100</v>
      </c>
      <c r="C5" s="81" t="s">
        <v>1086</v>
      </c>
      <c r="D5" s="81" t="s">
        <v>90</v>
      </c>
      <c r="E5" s="81" t="s">
        <v>102</v>
      </c>
      <c r="F5" s="81" t="s">
        <v>103</v>
      </c>
      <c r="G5" s="81" t="s">
        <v>103</v>
      </c>
      <c r="H5">
        <v>1450</v>
      </c>
      <c r="I5">
        <v>157</v>
      </c>
      <c r="J5">
        <v>830</v>
      </c>
      <c r="K5">
        <v>14</v>
      </c>
      <c r="L5">
        <v>19.600000000000001</v>
      </c>
      <c r="M5">
        <v>850</v>
      </c>
      <c r="O5">
        <v>780</v>
      </c>
      <c r="P5">
        <v>960</v>
      </c>
      <c r="Q5">
        <v>980</v>
      </c>
      <c r="R5">
        <v>700</v>
      </c>
      <c r="S5">
        <v>700</v>
      </c>
      <c r="V5">
        <v>840</v>
      </c>
      <c r="AA5">
        <v>830</v>
      </c>
      <c r="AB5">
        <v>24.9</v>
      </c>
      <c r="AC5" s="81" t="s">
        <v>1103</v>
      </c>
      <c r="AD5" s="81"/>
      <c r="AE5" s="81" t="s">
        <v>105</v>
      </c>
      <c r="AF5" s="81"/>
    </row>
    <row r="6" spans="2:32">
      <c r="B6" s="81" t="s">
        <v>106</v>
      </c>
      <c r="C6" s="81" t="s">
        <v>978</v>
      </c>
      <c r="D6" s="81" t="s">
        <v>90</v>
      </c>
      <c r="E6" s="81" t="s">
        <v>109</v>
      </c>
      <c r="F6" s="81" t="s">
        <v>790</v>
      </c>
      <c r="G6" s="81" t="s">
        <v>790</v>
      </c>
      <c r="H6">
        <v>1430</v>
      </c>
      <c r="I6">
        <v>168</v>
      </c>
      <c r="J6">
        <v>1055</v>
      </c>
      <c r="K6">
        <v>17</v>
      </c>
      <c r="L6">
        <v>22.5</v>
      </c>
      <c r="M6">
        <v>920</v>
      </c>
      <c r="O6">
        <v>800</v>
      </c>
      <c r="P6">
        <v>950</v>
      </c>
      <c r="Q6">
        <v>980</v>
      </c>
      <c r="R6">
        <v>700</v>
      </c>
      <c r="S6">
        <v>700</v>
      </c>
      <c r="V6">
        <v>1040</v>
      </c>
      <c r="AA6">
        <v>1055</v>
      </c>
      <c r="AB6">
        <v>29.65</v>
      </c>
      <c r="AC6" s="81" t="s">
        <v>1104</v>
      </c>
      <c r="AD6" s="81"/>
      <c r="AE6" s="81" t="s">
        <v>111</v>
      </c>
      <c r="AF6" s="81"/>
    </row>
    <row r="7" spans="2:32">
      <c r="B7" s="81" t="s">
        <v>112</v>
      </c>
      <c r="C7" s="81" t="s">
        <v>978</v>
      </c>
      <c r="D7" s="81" t="s">
        <v>90</v>
      </c>
      <c r="E7" s="81" t="s">
        <v>109</v>
      </c>
      <c r="F7" s="81" t="s">
        <v>790</v>
      </c>
      <c r="G7" s="81" t="s">
        <v>790</v>
      </c>
      <c r="H7">
        <v>1430</v>
      </c>
      <c r="I7">
        <v>168</v>
      </c>
      <c r="J7">
        <v>1055</v>
      </c>
      <c r="K7">
        <v>17</v>
      </c>
      <c r="L7">
        <v>22.5</v>
      </c>
      <c r="M7">
        <v>920</v>
      </c>
      <c r="O7">
        <v>800</v>
      </c>
      <c r="P7">
        <v>950</v>
      </c>
      <c r="Q7">
        <v>980</v>
      </c>
      <c r="R7">
        <v>700</v>
      </c>
      <c r="S7">
        <v>700</v>
      </c>
      <c r="V7">
        <v>1040</v>
      </c>
      <c r="AA7">
        <v>1055</v>
      </c>
      <c r="AB7">
        <v>29.65</v>
      </c>
      <c r="AC7" s="81" t="s">
        <v>1105</v>
      </c>
      <c r="AD7" s="81"/>
      <c r="AE7" s="81" t="s">
        <v>114</v>
      </c>
      <c r="AF7" s="81"/>
    </row>
    <row r="8" spans="2:32">
      <c r="B8" s="81" t="s">
        <v>115</v>
      </c>
      <c r="C8" s="81" t="s">
        <v>979</v>
      </c>
      <c r="D8" s="81" t="s">
        <v>90</v>
      </c>
      <c r="E8" s="81" t="s">
        <v>109</v>
      </c>
      <c r="F8" s="81" t="s">
        <v>790</v>
      </c>
      <c r="G8" s="81" t="s">
        <v>790</v>
      </c>
      <c r="H8">
        <v>1430</v>
      </c>
      <c r="I8">
        <v>168</v>
      </c>
      <c r="J8">
        <v>1055</v>
      </c>
      <c r="K8">
        <v>17</v>
      </c>
      <c r="L8">
        <v>22.5</v>
      </c>
      <c r="M8">
        <v>920</v>
      </c>
      <c r="O8">
        <v>800</v>
      </c>
      <c r="P8">
        <v>950</v>
      </c>
      <c r="Q8">
        <v>980</v>
      </c>
      <c r="R8">
        <v>700</v>
      </c>
      <c r="S8">
        <v>700</v>
      </c>
      <c r="V8">
        <v>1040</v>
      </c>
      <c r="AA8">
        <v>1055</v>
      </c>
      <c r="AB8">
        <v>29.65</v>
      </c>
      <c r="AC8" s="81" t="s">
        <v>1106</v>
      </c>
      <c r="AD8" s="81" t="s">
        <v>118</v>
      </c>
      <c r="AE8" s="81" t="s">
        <v>119</v>
      </c>
      <c r="AF8" s="81"/>
    </row>
    <row r="9" spans="2:32">
      <c r="B9" s="81" t="s">
        <v>120</v>
      </c>
      <c r="C9" s="81" t="s">
        <v>980</v>
      </c>
      <c r="D9" s="81" t="s">
        <v>90</v>
      </c>
      <c r="E9" s="81" t="s">
        <v>122</v>
      </c>
      <c r="F9" s="81" t="s">
        <v>790</v>
      </c>
      <c r="G9" s="81" t="s">
        <v>790</v>
      </c>
      <c r="H9">
        <v>1440</v>
      </c>
      <c r="I9">
        <v>168</v>
      </c>
      <c r="J9">
        <v>1190</v>
      </c>
      <c r="K9">
        <v>24</v>
      </c>
      <c r="L9">
        <v>31</v>
      </c>
      <c r="M9">
        <v>990</v>
      </c>
      <c r="O9">
        <v>840</v>
      </c>
      <c r="P9">
        <v>950</v>
      </c>
      <c r="Q9">
        <v>980</v>
      </c>
      <c r="R9">
        <v>670</v>
      </c>
      <c r="S9">
        <v>700</v>
      </c>
      <c r="V9">
        <v>1205</v>
      </c>
      <c r="AA9">
        <v>1190</v>
      </c>
      <c r="AB9">
        <v>34.699999999999996</v>
      </c>
      <c r="AC9" s="81" t="s">
        <v>1107</v>
      </c>
      <c r="AD9" s="81"/>
      <c r="AE9" s="81" t="s">
        <v>124</v>
      </c>
      <c r="AF9" s="81"/>
    </row>
    <row r="10" spans="2:32">
      <c r="B10" s="81" t="s">
        <v>125</v>
      </c>
      <c r="C10" s="81" t="s">
        <v>1087</v>
      </c>
      <c r="D10" s="81" t="s">
        <v>90</v>
      </c>
      <c r="E10" s="81" t="s">
        <v>127</v>
      </c>
      <c r="F10" s="81" t="s">
        <v>790</v>
      </c>
      <c r="G10" s="81" t="s">
        <v>790</v>
      </c>
      <c r="H10">
        <v>1450</v>
      </c>
      <c r="I10">
        <v>166</v>
      </c>
      <c r="J10">
        <v>1110</v>
      </c>
      <c r="K10">
        <v>19</v>
      </c>
      <c r="L10">
        <v>24.5</v>
      </c>
      <c r="M10">
        <v>840</v>
      </c>
      <c r="O10">
        <v>850</v>
      </c>
      <c r="P10">
        <v>965</v>
      </c>
      <c r="Q10">
        <v>980</v>
      </c>
      <c r="R10">
        <v>700</v>
      </c>
      <c r="S10">
        <v>700</v>
      </c>
      <c r="V10">
        <v>1100</v>
      </c>
      <c r="AA10">
        <v>1110</v>
      </c>
      <c r="AB10">
        <v>35.299999999999997</v>
      </c>
      <c r="AC10" s="81" t="s">
        <v>1108</v>
      </c>
      <c r="AD10" s="81"/>
      <c r="AE10" s="81" t="s">
        <v>129</v>
      </c>
      <c r="AF10" s="81"/>
    </row>
    <row r="11" spans="2:32">
      <c r="B11" s="81" t="s">
        <v>130</v>
      </c>
      <c r="C11" s="81" t="s">
        <v>980</v>
      </c>
      <c r="D11" s="81" t="s">
        <v>90</v>
      </c>
      <c r="E11" s="81" t="s">
        <v>122</v>
      </c>
      <c r="F11" s="81" t="s">
        <v>790</v>
      </c>
      <c r="G11" s="81" t="s">
        <v>790</v>
      </c>
      <c r="H11">
        <v>1440</v>
      </c>
      <c r="I11">
        <v>168</v>
      </c>
      <c r="J11">
        <v>1190</v>
      </c>
      <c r="K11">
        <v>19</v>
      </c>
      <c r="L11">
        <v>24.5</v>
      </c>
      <c r="M11">
        <v>945</v>
      </c>
      <c r="O11">
        <v>760</v>
      </c>
      <c r="P11">
        <v>965</v>
      </c>
      <c r="Q11">
        <v>980</v>
      </c>
      <c r="R11">
        <v>700</v>
      </c>
      <c r="S11">
        <v>700</v>
      </c>
      <c r="V11">
        <v>1175</v>
      </c>
      <c r="AA11">
        <v>1190</v>
      </c>
      <c r="AB11">
        <v>34.699999999999996</v>
      </c>
      <c r="AC11" s="81" t="s">
        <v>1109</v>
      </c>
      <c r="AD11" s="81"/>
      <c r="AE11" s="81" t="s">
        <v>132</v>
      </c>
      <c r="AF11" s="81"/>
    </row>
    <row r="12" spans="2:32">
      <c r="B12" s="81" t="s">
        <v>133</v>
      </c>
      <c r="C12" s="81" t="s">
        <v>981</v>
      </c>
      <c r="D12" s="81" t="s">
        <v>90</v>
      </c>
      <c r="E12" s="81" t="s">
        <v>122</v>
      </c>
      <c r="F12" s="81" t="s">
        <v>790</v>
      </c>
      <c r="G12" s="81" t="s">
        <v>790</v>
      </c>
      <c r="H12">
        <v>1440</v>
      </c>
      <c r="I12">
        <v>168</v>
      </c>
      <c r="J12">
        <v>1190</v>
      </c>
      <c r="K12">
        <v>24</v>
      </c>
      <c r="L12">
        <v>33</v>
      </c>
      <c r="M12">
        <v>945</v>
      </c>
      <c r="O12">
        <v>840</v>
      </c>
      <c r="P12">
        <v>950</v>
      </c>
      <c r="Q12">
        <v>980</v>
      </c>
      <c r="R12">
        <v>680</v>
      </c>
      <c r="S12">
        <v>680</v>
      </c>
      <c r="V12">
        <v>1220</v>
      </c>
      <c r="AA12">
        <v>1190</v>
      </c>
      <c r="AB12">
        <v>34.699999999999996</v>
      </c>
      <c r="AC12" s="81" t="s">
        <v>1110</v>
      </c>
      <c r="AD12" s="81" t="s">
        <v>135</v>
      </c>
      <c r="AE12" s="81" t="s">
        <v>132</v>
      </c>
      <c r="AF12" s="81"/>
    </row>
    <row r="13" spans="2:32">
      <c r="B13" s="81" t="s">
        <v>136</v>
      </c>
      <c r="C13" s="81" t="s">
        <v>982</v>
      </c>
      <c r="D13" s="81" t="s">
        <v>90</v>
      </c>
      <c r="E13" s="81" t="s">
        <v>122</v>
      </c>
      <c r="F13" s="81" t="s">
        <v>790</v>
      </c>
      <c r="G13" s="81" t="s">
        <v>790</v>
      </c>
      <c r="H13">
        <v>1440</v>
      </c>
      <c r="I13">
        <v>168</v>
      </c>
      <c r="J13">
        <v>1190</v>
      </c>
      <c r="K13">
        <v>24</v>
      </c>
      <c r="L13">
        <v>33</v>
      </c>
      <c r="M13">
        <v>981</v>
      </c>
      <c r="O13">
        <v>840</v>
      </c>
      <c r="P13">
        <v>950</v>
      </c>
      <c r="Q13">
        <v>980</v>
      </c>
      <c r="R13">
        <v>680</v>
      </c>
      <c r="S13">
        <v>680</v>
      </c>
      <c r="V13">
        <v>1220</v>
      </c>
      <c r="AA13">
        <v>1190</v>
      </c>
      <c r="AB13">
        <v>34.699999999999996</v>
      </c>
      <c r="AC13" s="81" t="s">
        <v>1111</v>
      </c>
      <c r="AD13" s="81"/>
      <c r="AE13" s="81" t="s">
        <v>139</v>
      </c>
      <c r="AF13" s="81"/>
    </row>
    <row r="14" spans="2:32">
      <c r="B14" s="81" t="s">
        <v>140</v>
      </c>
      <c r="C14" s="81" t="s">
        <v>983</v>
      </c>
      <c r="D14" s="81" t="s">
        <v>90</v>
      </c>
      <c r="E14" s="81" t="s">
        <v>142</v>
      </c>
      <c r="F14" s="81" t="s">
        <v>790</v>
      </c>
      <c r="G14" s="81" t="s">
        <v>790</v>
      </c>
      <c r="H14">
        <v>1430</v>
      </c>
      <c r="I14">
        <v>168</v>
      </c>
      <c r="J14">
        <v>1170</v>
      </c>
      <c r="K14">
        <v>17</v>
      </c>
      <c r="L14">
        <v>22.5</v>
      </c>
      <c r="M14">
        <v>920</v>
      </c>
      <c r="O14">
        <v>800</v>
      </c>
      <c r="P14">
        <v>950</v>
      </c>
      <c r="Q14">
        <v>980</v>
      </c>
      <c r="R14">
        <v>700</v>
      </c>
      <c r="S14">
        <v>700</v>
      </c>
      <c r="V14">
        <v>1110</v>
      </c>
      <c r="AA14">
        <v>1170</v>
      </c>
      <c r="AB14">
        <v>35.1</v>
      </c>
      <c r="AC14" s="81" t="s">
        <v>1112</v>
      </c>
      <c r="AD14" s="81"/>
      <c r="AE14" s="81" t="s">
        <v>144</v>
      </c>
      <c r="AF14" s="81"/>
    </row>
    <row r="15" spans="2:32">
      <c r="B15" s="81" t="s">
        <v>145</v>
      </c>
      <c r="C15" s="81" t="s">
        <v>983</v>
      </c>
      <c r="D15" s="81" t="s">
        <v>90</v>
      </c>
      <c r="E15" s="81" t="s">
        <v>142</v>
      </c>
      <c r="F15" s="81" t="s">
        <v>790</v>
      </c>
      <c r="G15" s="81" t="s">
        <v>790</v>
      </c>
      <c r="H15">
        <v>1435</v>
      </c>
      <c r="I15">
        <v>168</v>
      </c>
      <c r="J15">
        <v>1170</v>
      </c>
      <c r="K15">
        <v>11.5</v>
      </c>
      <c r="L15">
        <v>15.7</v>
      </c>
      <c r="M15">
        <v>640</v>
      </c>
      <c r="O15">
        <v>790</v>
      </c>
      <c r="P15">
        <v>950</v>
      </c>
      <c r="Q15">
        <v>980</v>
      </c>
      <c r="R15">
        <v>700</v>
      </c>
      <c r="S15">
        <v>700</v>
      </c>
      <c r="V15">
        <v>1110</v>
      </c>
      <c r="AA15">
        <v>1170</v>
      </c>
      <c r="AB15">
        <v>35.1</v>
      </c>
      <c r="AC15" s="81" t="s">
        <v>1113</v>
      </c>
      <c r="AD15" s="81"/>
      <c r="AE15" s="81" t="s">
        <v>147</v>
      </c>
      <c r="AF15" s="81"/>
    </row>
    <row r="16" spans="2:32">
      <c r="B16" s="81" t="s">
        <v>148</v>
      </c>
      <c r="C16" s="81" t="s">
        <v>984</v>
      </c>
      <c r="D16" s="81" t="s">
        <v>90</v>
      </c>
      <c r="E16" s="81" t="s">
        <v>151</v>
      </c>
      <c r="F16" s="81" t="s">
        <v>790</v>
      </c>
      <c r="G16" s="81" t="s">
        <v>790</v>
      </c>
      <c r="H16">
        <v>1440</v>
      </c>
      <c r="I16">
        <v>194</v>
      </c>
      <c r="J16">
        <v>1505</v>
      </c>
      <c r="K16">
        <v>22</v>
      </c>
      <c r="L16">
        <v>29.9</v>
      </c>
      <c r="M16">
        <v>939</v>
      </c>
      <c r="O16">
        <v>830</v>
      </c>
      <c r="P16">
        <v>950</v>
      </c>
      <c r="Q16">
        <v>980</v>
      </c>
      <c r="R16">
        <v>700</v>
      </c>
      <c r="S16">
        <v>700</v>
      </c>
      <c r="V16">
        <v>1440</v>
      </c>
      <c r="AA16">
        <v>1505</v>
      </c>
      <c r="AB16">
        <v>45.15</v>
      </c>
      <c r="AC16" s="81" t="s">
        <v>1114</v>
      </c>
      <c r="AD16" s="81"/>
      <c r="AE16" s="81" t="s">
        <v>153</v>
      </c>
      <c r="AF16" s="81"/>
    </row>
    <row r="17" spans="2:32">
      <c r="B17" s="81" t="s">
        <v>154</v>
      </c>
      <c r="C17" s="81" t="s">
        <v>984</v>
      </c>
      <c r="D17" s="81" t="s">
        <v>90</v>
      </c>
      <c r="E17" s="81" t="s">
        <v>151</v>
      </c>
      <c r="F17" s="81" t="s">
        <v>790</v>
      </c>
      <c r="G17" s="81" t="s">
        <v>790</v>
      </c>
      <c r="H17">
        <v>1440</v>
      </c>
      <c r="I17">
        <v>194</v>
      </c>
      <c r="J17">
        <v>1505</v>
      </c>
      <c r="K17">
        <v>22</v>
      </c>
      <c r="L17">
        <v>29.9</v>
      </c>
      <c r="M17">
        <v>939</v>
      </c>
      <c r="O17">
        <v>830</v>
      </c>
      <c r="P17">
        <v>950</v>
      </c>
      <c r="Q17">
        <v>980</v>
      </c>
      <c r="R17">
        <v>700</v>
      </c>
      <c r="S17">
        <v>700</v>
      </c>
      <c r="V17">
        <v>1440</v>
      </c>
      <c r="AA17">
        <v>1505</v>
      </c>
      <c r="AB17">
        <v>45.15</v>
      </c>
      <c r="AC17" s="81" t="s">
        <v>1115</v>
      </c>
      <c r="AD17" s="81"/>
      <c r="AE17" s="81" t="s">
        <v>156</v>
      </c>
      <c r="AF17" s="81"/>
    </row>
    <row r="18" spans="2:32">
      <c r="B18" s="81" t="s">
        <v>157</v>
      </c>
      <c r="C18" s="81" t="s">
        <v>985</v>
      </c>
      <c r="D18" s="81" t="s">
        <v>90</v>
      </c>
      <c r="E18" s="81" t="s">
        <v>151</v>
      </c>
      <c r="F18" s="81" t="s">
        <v>790</v>
      </c>
      <c r="G18" s="81" t="s">
        <v>790</v>
      </c>
      <c r="H18">
        <v>1440</v>
      </c>
      <c r="I18">
        <v>194</v>
      </c>
      <c r="J18">
        <v>1505</v>
      </c>
      <c r="K18">
        <v>22.5</v>
      </c>
      <c r="L18">
        <v>30.7</v>
      </c>
      <c r="M18">
        <v>939</v>
      </c>
      <c r="O18">
        <v>830</v>
      </c>
      <c r="P18">
        <v>950</v>
      </c>
      <c r="Q18">
        <v>980</v>
      </c>
      <c r="R18">
        <v>700</v>
      </c>
      <c r="S18">
        <v>700</v>
      </c>
      <c r="V18">
        <v>1440</v>
      </c>
      <c r="AA18">
        <v>1505</v>
      </c>
      <c r="AB18">
        <v>45.15</v>
      </c>
      <c r="AC18" s="81" t="s">
        <v>1104</v>
      </c>
      <c r="AD18" s="81"/>
      <c r="AE18" s="81" t="s">
        <v>160</v>
      </c>
      <c r="AF18" s="81"/>
    </row>
    <row r="19" spans="2:32">
      <c r="B19" s="81" t="s">
        <v>161</v>
      </c>
      <c r="C19" s="81" t="s">
        <v>985</v>
      </c>
      <c r="D19" s="81" t="s">
        <v>90</v>
      </c>
      <c r="E19" s="81" t="s">
        <v>151</v>
      </c>
      <c r="F19" s="81" t="s">
        <v>790</v>
      </c>
      <c r="G19" s="81" t="s">
        <v>790</v>
      </c>
      <c r="H19">
        <v>1440</v>
      </c>
      <c r="I19">
        <v>194</v>
      </c>
      <c r="J19">
        <v>1505</v>
      </c>
      <c r="K19">
        <v>22</v>
      </c>
      <c r="L19">
        <v>29.9</v>
      </c>
      <c r="M19">
        <v>939</v>
      </c>
      <c r="O19">
        <v>830</v>
      </c>
      <c r="P19">
        <v>950</v>
      </c>
      <c r="Q19">
        <v>980</v>
      </c>
      <c r="R19">
        <v>700</v>
      </c>
      <c r="S19">
        <v>700</v>
      </c>
      <c r="V19">
        <v>1440</v>
      </c>
      <c r="AA19">
        <v>1505</v>
      </c>
      <c r="AB19">
        <v>45.15</v>
      </c>
      <c r="AC19" s="81" t="s">
        <v>1116</v>
      </c>
      <c r="AD19" s="81"/>
      <c r="AE19" s="81" t="s">
        <v>163</v>
      </c>
      <c r="AF19" s="81"/>
    </row>
    <row r="20" spans="2:32">
      <c r="B20" s="81" t="s">
        <v>164</v>
      </c>
      <c r="C20" s="81" t="s">
        <v>1035</v>
      </c>
      <c r="D20" s="81" t="s">
        <v>90</v>
      </c>
      <c r="E20" s="81" t="s">
        <v>168</v>
      </c>
      <c r="F20" s="81" t="s">
        <v>790</v>
      </c>
      <c r="G20" s="81" t="s">
        <v>790</v>
      </c>
      <c r="H20">
        <v>895</v>
      </c>
      <c r="I20">
        <v>245</v>
      </c>
      <c r="J20">
        <v>1775</v>
      </c>
      <c r="K20">
        <v>26</v>
      </c>
      <c r="L20">
        <v>36.6</v>
      </c>
      <c r="M20">
        <v>700</v>
      </c>
      <c r="O20">
        <v>680</v>
      </c>
      <c r="P20">
        <v>970</v>
      </c>
      <c r="Q20">
        <v>980</v>
      </c>
      <c r="R20">
        <v>700</v>
      </c>
      <c r="S20">
        <v>700</v>
      </c>
      <c r="V20">
        <v>1640</v>
      </c>
      <c r="AA20">
        <v>1775</v>
      </c>
      <c r="AB20">
        <v>55.25</v>
      </c>
      <c r="AC20" s="81" t="s">
        <v>1105</v>
      </c>
      <c r="AD20" s="81"/>
      <c r="AE20" s="81" t="s">
        <v>169</v>
      </c>
      <c r="AF20" s="81"/>
    </row>
    <row r="21" spans="2:32">
      <c r="B21" s="81" t="s">
        <v>170</v>
      </c>
      <c r="C21" s="81" t="s">
        <v>1036</v>
      </c>
      <c r="D21" s="81" t="s">
        <v>90</v>
      </c>
      <c r="E21" s="81" t="s">
        <v>168</v>
      </c>
      <c r="F21" s="81" t="s">
        <v>790</v>
      </c>
      <c r="G21" s="81" t="s">
        <v>790</v>
      </c>
      <c r="H21">
        <v>895</v>
      </c>
      <c r="I21">
        <v>245</v>
      </c>
      <c r="J21">
        <v>1775</v>
      </c>
      <c r="K21">
        <v>26</v>
      </c>
      <c r="L21">
        <v>36.6</v>
      </c>
      <c r="M21">
        <v>700</v>
      </c>
      <c r="O21">
        <v>680</v>
      </c>
      <c r="P21">
        <v>970</v>
      </c>
      <c r="Q21">
        <v>980</v>
      </c>
      <c r="R21">
        <v>700</v>
      </c>
      <c r="S21">
        <v>700</v>
      </c>
      <c r="V21">
        <v>1770</v>
      </c>
      <c r="AA21">
        <v>1775</v>
      </c>
      <c r="AB21">
        <v>55.25</v>
      </c>
      <c r="AC21" s="81" t="s">
        <v>1104</v>
      </c>
      <c r="AD21" s="81" t="s">
        <v>172</v>
      </c>
      <c r="AE21" s="81" t="s">
        <v>173</v>
      </c>
      <c r="AF21" s="81"/>
    </row>
    <row r="22" spans="2:32">
      <c r="B22" s="81" t="s">
        <v>174</v>
      </c>
      <c r="C22" s="81" t="s">
        <v>1037</v>
      </c>
      <c r="D22" s="81" t="s">
        <v>90</v>
      </c>
      <c r="E22" s="81" t="s">
        <v>176</v>
      </c>
      <c r="F22" s="81" t="s">
        <v>790</v>
      </c>
      <c r="G22" s="81" t="s">
        <v>790</v>
      </c>
      <c r="H22">
        <v>895</v>
      </c>
      <c r="I22">
        <v>245</v>
      </c>
      <c r="J22">
        <v>1670</v>
      </c>
      <c r="K22">
        <v>24.8</v>
      </c>
      <c r="L22">
        <v>34.799999999999997</v>
      </c>
      <c r="M22">
        <v>660</v>
      </c>
      <c r="O22">
        <v>740</v>
      </c>
      <c r="P22">
        <v>950</v>
      </c>
      <c r="Q22">
        <v>980</v>
      </c>
      <c r="R22">
        <v>700</v>
      </c>
      <c r="S22">
        <v>700</v>
      </c>
      <c r="V22">
        <v>1550</v>
      </c>
      <c r="AA22">
        <v>1670</v>
      </c>
      <c r="AB22">
        <v>50.1</v>
      </c>
      <c r="AC22" s="81" t="s">
        <v>1117</v>
      </c>
      <c r="AD22" s="81"/>
      <c r="AE22" s="81" t="s">
        <v>178</v>
      </c>
      <c r="AF22" s="81" t="s">
        <v>179</v>
      </c>
    </row>
    <row r="23" spans="2:32">
      <c r="B23" s="81" t="s">
        <v>180</v>
      </c>
      <c r="C23" s="81" t="s">
        <v>1038</v>
      </c>
      <c r="D23" s="81" t="s">
        <v>90</v>
      </c>
      <c r="E23" s="81" t="s">
        <v>182</v>
      </c>
      <c r="F23" s="81" t="s">
        <v>790</v>
      </c>
      <c r="G23" s="81" t="s">
        <v>790</v>
      </c>
      <c r="H23">
        <v>885</v>
      </c>
      <c r="I23">
        <v>270</v>
      </c>
      <c r="J23">
        <v>1450</v>
      </c>
      <c r="K23">
        <v>26.4</v>
      </c>
      <c r="L23">
        <v>36</v>
      </c>
      <c r="M23">
        <v>560</v>
      </c>
      <c r="O23">
        <v>840</v>
      </c>
      <c r="P23">
        <v>965</v>
      </c>
      <c r="Q23">
        <v>980</v>
      </c>
      <c r="R23">
        <v>690</v>
      </c>
      <c r="S23">
        <v>700</v>
      </c>
      <c r="V23">
        <v>1470</v>
      </c>
      <c r="AA23">
        <v>1450</v>
      </c>
      <c r="AB23">
        <v>44.5</v>
      </c>
      <c r="AC23" s="81" t="s">
        <v>1118</v>
      </c>
      <c r="AD23" s="81" t="s">
        <v>172</v>
      </c>
      <c r="AE23" s="81" t="s">
        <v>184</v>
      </c>
      <c r="AF23" s="81"/>
    </row>
    <row r="24" spans="2:32">
      <c r="B24" s="81" t="s">
        <v>185</v>
      </c>
      <c r="C24" s="81" t="s">
        <v>1039</v>
      </c>
      <c r="D24" s="81" t="s">
        <v>90</v>
      </c>
      <c r="E24" s="81" t="s">
        <v>187</v>
      </c>
      <c r="F24" s="81" t="s">
        <v>103</v>
      </c>
      <c r="G24" s="81" t="s">
        <v>103</v>
      </c>
      <c r="H24">
        <v>905</v>
      </c>
      <c r="I24">
        <v>255</v>
      </c>
      <c r="J24">
        <v>1855</v>
      </c>
      <c r="K24">
        <v>32.5</v>
      </c>
      <c r="L24">
        <v>45</v>
      </c>
      <c r="M24">
        <v>600</v>
      </c>
      <c r="O24">
        <v>760</v>
      </c>
      <c r="P24">
        <v>960</v>
      </c>
      <c r="Q24">
        <v>980</v>
      </c>
      <c r="R24">
        <v>680</v>
      </c>
      <c r="S24">
        <v>700</v>
      </c>
      <c r="V24">
        <v>1815</v>
      </c>
      <c r="AA24">
        <v>1855</v>
      </c>
      <c r="AB24">
        <v>54.65</v>
      </c>
      <c r="AC24" s="81" t="s">
        <v>1119</v>
      </c>
      <c r="AD24" s="81"/>
      <c r="AE24" s="81" t="s">
        <v>189</v>
      </c>
      <c r="AF24" s="81" t="s">
        <v>190</v>
      </c>
    </row>
    <row r="25" spans="2:32">
      <c r="B25" s="81" t="s">
        <v>191</v>
      </c>
      <c r="C25" s="81" t="s">
        <v>1039</v>
      </c>
      <c r="D25" s="81" t="s">
        <v>193</v>
      </c>
      <c r="E25" s="81" t="s">
        <v>187</v>
      </c>
      <c r="F25" s="81" t="s">
        <v>103</v>
      </c>
      <c r="G25" s="81" t="s">
        <v>103</v>
      </c>
      <c r="H25">
        <v>885</v>
      </c>
      <c r="I25">
        <v>255</v>
      </c>
      <c r="J25">
        <v>1869.5</v>
      </c>
      <c r="K25">
        <v>45</v>
      </c>
      <c r="L25">
        <v>55</v>
      </c>
      <c r="M25">
        <v>702</v>
      </c>
      <c r="O25">
        <v>800</v>
      </c>
      <c r="P25">
        <v>950</v>
      </c>
      <c r="Q25">
        <v>980</v>
      </c>
      <c r="R25">
        <v>685</v>
      </c>
      <c r="S25">
        <v>700</v>
      </c>
      <c r="V25">
        <v>1835</v>
      </c>
      <c r="AA25">
        <v>1850</v>
      </c>
      <c r="AC25" s="81" t="s">
        <v>1119</v>
      </c>
      <c r="AD25" s="81"/>
      <c r="AE25" s="81" t="s">
        <v>189</v>
      </c>
      <c r="AF25" s="81" t="s">
        <v>190</v>
      </c>
    </row>
    <row r="26" spans="2:32">
      <c r="B26" s="81" t="s">
        <v>194</v>
      </c>
      <c r="C26" s="81" t="s">
        <v>1040</v>
      </c>
      <c r="D26" s="81" t="s">
        <v>90</v>
      </c>
      <c r="E26" s="81" t="s">
        <v>197</v>
      </c>
      <c r="F26" s="81" t="s">
        <v>790</v>
      </c>
      <c r="G26" s="81" t="s">
        <v>790</v>
      </c>
      <c r="H26">
        <v>890</v>
      </c>
      <c r="I26">
        <v>260</v>
      </c>
      <c r="J26">
        <v>1880</v>
      </c>
      <c r="AA26">
        <v>1880</v>
      </c>
      <c r="AB26">
        <v>55.4</v>
      </c>
      <c r="AC26" s="81" t="s">
        <v>1108</v>
      </c>
      <c r="AD26" s="81"/>
      <c r="AE26" s="81" t="s">
        <v>198</v>
      </c>
      <c r="AF26" s="81" t="s">
        <v>199</v>
      </c>
    </row>
    <row r="27" spans="2:32">
      <c r="B27" s="81" t="s">
        <v>200</v>
      </c>
      <c r="C27" s="81" t="s">
        <v>1088</v>
      </c>
      <c r="D27" s="81" t="s">
        <v>90</v>
      </c>
      <c r="E27" s="81" t="s">
        <v>202</v>
      </c>
      <c r="F27" s="81" t="s">
        <v>203</v>
      </c>
      <c r="G27" s="81" t="s">
        <v>203</v>
      </c>
      <c r="H27">
        <v>980</v>
      </c>
      <c r="I27">
        <v>240</v>
      </c>
      <c r="J27">
        <v>1695</v>
      </c>
      <c r="AA27">
        <v>1695</v>
      </c>
      <c r="AB27">
        <v>49.85</v>
      </c>
      <c r="AC27" s="81" t="s">
        <v>1120</v>
      </c>
      <c r="AD27" s="81"/>
      <c r="AE27" s="81" t="s">
        <v>205</v>
      </c>
      <c r="AF27" s="81" t="s">
        <v>206</v>
      </c>
    </row>
    <row r="28" spans="2:32">
      <c r="B28" s="81" t="s">
        <v>207</v>
      </c>
      <c r="C28" s="81" t="s">
        <v>1041</v>
      </c>
      <c r="D28" s="81" t="s">
        <v>90</v>
      </c>
      <c r="E28" s="81" t="s">
        <v>210</v>
      </c>
      <c r="F28" s="81" t="s">
        <v>790</v>
      </c>
      <c r="G28" s="81" t="s">
        <v>790</v>
      </c>
      <c r="H28">
        <v>1055</v>
      </c>
      <c r="I28">
        <v>230</v>
      </c>
      <c r="J28">
        <v>1400</v>
      </c>
      <c r="K28">
        <v>27</v>
      </c>
      <c r="L28">
        <v>36</v>
      </c>
      <c r="M28">
        <v>745</v>
      </c>
      <c r="O28">
        <v>800</v>
      </c>
      <c r="P28">
        <v>960</v>
      </c>
      <c r="Q28">
        <v>980</v>
      </c>
      <c r="R28">
        <v>680</v>
      </c>
      <c r="S28">
        <v>700</v>
      </c>
      <c r="V28">
        <v>1410</v>
      </c>
      <c r="AA28">
        <v>1400</v>
      </c>
      <c r="AB28">
        <v>40</v>
      </c>
      <c r="AC28" s="81" t="s">
        <v>1117</v>
      </c>
      <c r="AD28" s="81" t="s">
        <v>172</v>
      </c>
      <c r="AE28" s="81" t="s">
        <v>211</v>
      </c>
      <c r="AF28" s="81"/>
    </row>
    <row r="29" spans="2:32">
      <c r="B29" s="81" t="s">
        <v>212</v>
      </c>
      <c r="C29" s="81" t="s">
        <v>1042</v>
      </c>
      <c r="D29" s="81" t="s">
        <v>90</v>
      </c>
      <c r="E29" s="81" t="s">
        <v>213</v>
      </c>
      <c r="F29" s="81" t="s">
        <v>103</v>
      </c>
      <c r="G29" s="81" t="s">
        <v>103</v>
      </c>
      <c r="H29">
        <v>1055</v>
      </c>
      <c r="I29">
        <v>220</v>
      </c>
      <c r="J29">
        <v>1660</v>
      </c>
      <c r="K29">
        <v>48</v>
      </c>
      <c r="L29">
        <v>30</v>
      </c>
      <c r="M29">
        <v>697</v>
      </c>
      <c r="O29">
        <v>800</v>
      </c>
      <c r="P29">
        <v>960</v>
      </c>
      <c r="Q29">
        <v>980</v>
      </c>
      <c r="R29">
        <v>680</v>
      </c>
      <c r="S29">
        <v>700</v>
      </c>
      <c r="V29">
        <v>1670</v>
      </c>
      <c r="AA29">
        <v>1660</v>
      </c>
      <c r="AB29">
        <v>49.8</v>
      </c>
      <c r="AC29" s="81" t="s">
        <v>1121</v>
      </c>
      <c r="AD29" s="81"/>
      <c r="AE29" s="81" t="s">
        <v>215</v>
      </c>
      <c r="AF29" s="81" t="s">
        <v>216</v>
      </c>
    </row>
    <row r="30" spans="2:32">
      <c r="B30" s="81" t="s">
        <v>217</v>
      </c>
      <c r="C30" s="81" t="s">
        <v>1008</v>
      </c>
      <c r="D30" s="81" t="s">
        <v>90</v>
      </c>
      <c r="E30" s="81" t="s">
        <v>220</v>
      </c>
      <c r="F30" s="81" t="s">
        <v>790</v>
      </c>
      <c r="G30" s="81" t="s">
        <v>790</v>
      </c>
      <c r="H30">
        <v>1190</v>
      </c>
      <c r="I30">
        <v>160</v>
      </c>
      <c r="J30">
        <v>1060</v>
      </c>
      <c r="K30">
        <v>16.3</v>
      </c>
      <c r="L30">
        <v>22.8</v>
      </c>
      <c r="M30">
        <v>800</v>
      </c>
      <c r="O30">
        <v>740</v>
      </c>
      <c r="P30">
        <v>940</v>
      </c>
      <c r="Q30">
        <v>980</v>
      </c>
      <c r="R30">
        <v>700</v>
      </c>
      <c r="S30">
        <v>700</v>
      </c>
      <c r="V30">
        <v>1000</v>
      </c>
      <c r="AA30">
        <v>1060</v>
      </c>
      <c r="AB30">
        <v>29.799999999999997</v>
      </c>
      <c r="AC30" s="81" t="s">
        <v>1122</v>
      </c>
      <c r="AD30" s="81"/>
      <c r="AE30" s="81" t="s">
        <v>222</v>
      </c>
      <c r="AF30" s="81" t="s">
        <v>223</v>
      </c>
    </row>
    <row r="31" spans="2:32">
      <c r="B31" s="81" t="s">
        <v>224</v>
      </c>
      <c r="C31" s="81" t="s">
        <v>1043</v>
      </c>
      <c r="D31" s="81" t="s">
        <v>90</v>
      </c>
      <c r="E31" s="81" t="s">
        <v>227</v>
      </c>
      <c r="F31" s="81" t="s">
        <v>790</v>
      </c>
      <c r="G31" s="81" t="s">
        <v>790</v>
      </c>
      <c r="H31">
        <v>1230</v>
      </c>
      <c r="I31">
        <v>172</v>
      </c>
      <c r="J31">
        <v>1335</v>
      </c>
      <c r="K31">
        <v>26.4</v>
      </c>
      <c r="L31">
        <v>35</v>
      </c>
      <c r="M31">
        <v>920</v>
      </c>
      <c r="O31">
        <v>780</v>
      </c>
      <c r="P31">
        <v>930</v>
      </c>
      <c r="Q31">
        <v>980</v>
      </c>
      <c r="R31">
        <v>680</v>
      </c>
      <c r="S31">
        <v>700</v>
      </c>
      <c r="V31">
        <v>1340</v>
      </c>
      <c r="AA31">
        <v>1335</v>
      </c>
      <c r="AB31">
        <v>40.049999999999997</v>
      </c>
      <c r="AC31" s="81" t="s">
        <v>1103</v>
      </c>
      <c r="AD31" s="81"/>
      <c r="AE31" s="81" t="s">
        <v>229</v>
      </c>
      <c r="AF31" s="81" t="s">
        <v>230</v>
      </c>
    </row>
    <row r="32" spans="2:32">
      <c r="B32" s="81" t="s">
        <v>231</v>
      </c>
      <c r="C32" s="81" t="s">
        <v>1009</v>
      </c>
      <c r="D32" s="81" t="s">
        <v>90</v>
      </c>
      <c r="E32" s="81" t="s">
        <v>233</v>
      </c>
      <c r="F32" s="81" t="s">
        <v>790</v>
      </c>
      <c r="G32" s="81" t="s">
        <v>790</v>
      </c>
      <c r="H32">
        <v>1205</v>
      </c>
      <c r="I32">
        <v>185</v>
      </c>
      <c r="J32">
        <v>1345</v>
      </c>
      <c r="K32">
        <v>20.5</v>
      </c>
      <c r="L32">
        <v>27.6</v>
      </c>
      <c r="M32">
        <v>800</v>
      </c>
      <c r="O32">
        <v>770</v>
      </c>
      <c r="P32">
        <v>960</v>
      </c>
      <c r="Q32">
        <v>980</v>
      </c>
      <c r="R32">
        <v>700</v>
      </c>
      <c r="S32">
        <v>700</v>
      </c>
      <c r="V32">
        <v>1265</v>
      </c>
      <c r="AA32">
        <v>1345</v>
      </c>
      <c r="AB32">
        <v>40.35</v>
      </c>
      <c r="AC32" s="81" t="s">
        <v>1123</v>
      </c>
      <c r="AD32" s="81"/>
      <c r="AE32" s="81" t="s">
        <v>235</v>
      </c>
      <c r="AF32" s="81" t="s">
        <v>236</v>
      </c>
    </row>
    <row r="33" spans="2:32">
      <c r="B33" s="81" t="s">
        <v>237</v>
      </c>
      <c r="C33" s="81" t="s">
        <v>1010</v>
      </c>
      <c r="D33" s="81" t="s">
        <v>90</v>
      </c>
      <c r="E33" s="81" t="s">
        <v>239</v>
      </c>
      <c r="F33" s="81" t="s">
        <v>790</v>
      </c>
      <c r="G33" s="81" t="s">
        <v>790</v>
      </c>
      <c r="H33">
        <v>1205</v>
      </c>
      <c r="I33">
        <v>173</v>
      </c>
      <c r="J33">
        <v>1320</v>
      </c>
      <c r="K33">
        <v>18.5</v>
      </c>
      <c r="L33">
        <v>26.5</v>
      </c>
      <c r="M33">
        <v>870</v>
      </c>
      <c r="O33">
        <v>700</v>
      </c>
      <c r="P33">
        <v>945</v>
      </c>
      <c r="Q33">
        <v>980</v>
      </c>
      <c r="R33">
        <v>700</v>
      </c>
      <c r="S33">
        <v>700</v>
      </c>
      <c r="V33">
        <v>1265</v>
      </c>
      <c r="AA33">
        <v>1320</v>
      </c>
      <c r="AB33">
        <v>39.6</v>
      </c>
      <c r="AC33" s="81"/>
      <c r="AD33" s="81"/>
      <c r="AE33" s="81" t="s">
        <v>240</v>
      </c>
      <c r="AF33" s="81"/>
    </row>
    <row r="34" spans="2:32">
      <c r="B34" s="81" t="s">
        <v>241</v>
      </c>
      <c r="C34" s="81" t="s">
        <v>1010</v>
      </c>
      <c r="D34" s="81" t="s">
        <v>90</v>
      </c>
      <c r="E34" s="81" t="s">
        <v>239</v>
      </c>
      <c r="F34" s="81" t="s">
        <v>790</v>
      </c>
      <c r="G34" s="81" t="s">
        <v>790</v>
      </c>
      <c r="H34">
        <v>1205</v>
      </c>
      <c r="I34">
        <v>173</v>
      </c>
      <c r="J34">
        <v>1320</v>
      </c>
      <c r="K34">
        <v>12.5</v>
      </c>
      <c r="L34">
        <v>17</v>
      </c>
      <c r="M34">
        <v>670</v>
      </c>
      <c r="O34">
        <v>650</v>
      </c>
      <c r="P34">
        <v>950</v>
      </c>
      <c r="Q34">
        <v>980</v>
      </c>
      <c r="R34">
        <v>700</v>
      </c>
      <c r="S34">
        <v>700</v>
      </c>
      <c r="V34">
        <v>1265</v>
      </c>
      <c r="AA34">
        <v>1320</v>
      </c>
      <c r="AB34">
        <v>39.6</v>
      </c>
      <c r="AC34" s="81" t="s">
        <v>1124</v>
      </c>
      <c r="AD34" s="81"/>
      <c r="AE34" s="81" t="s">
        <v>243</v>
      </c>
      <c r="AF34" s="81"/>
    </row>
    <row r="35" spans="2:32">
      <c r="B35" s="81" t="s">
        <v>244</v>
      </c>
      <c r="C35" s="81" t="s">
        <v>1044</v>
      </c>
      <c r="D35" s="81" t="s">
        <v>193</v>
      </c>
      <c r="E35" s="81" t="s">
        <v>227</v>
      </c>
      <c r="F35" s="81" t="s">
        <v>790</v>
      </c>
      <c r="G35" s="81" t="s">
        <v>790</v>
      </c>
      <c r="H35">
        <v>1230</v>
      </c>
      <c r="I35">
        <v>170</v>
      </c>
      <c r="J35">
        <v>1350.35</v>
      </c>
      <c r="K35">
        <v>21</v>
      </c>
      <c r="L35">
        <v>27.8</v>
      </c>
      <c r="M35">
        <v>680</v>
      </c>
      <c r="O35">
        <v>720</v>
      </c>
      <c r="P35">
        <v>930</v>
      </c>
      <c r="Q35">
        <v>980</v>
      </c>
      <c r="R35">
        <v>700</v>
      </c>
      <c r="S35">
        <v>700</v>
      </c>
      <c r="V35">
        <v>1340</v>
      </c>
      <c r="AA35">
        <v>1335</v>
      </c>
      <c r="AC35" s="81" t="s">
        <v>1125</v>
      </c>
      <c r="AD35" s="81"/>
      <c r="AE35" s="81" t="s">
        <v>247</v>
      </c>
      <c r="AF35" s="81" t="s">
        <v>179</v>
      </c>
    </row>
    <row r="36" spans="2:32">
      <c r="B36" s="81" t="s">
        <v>248</v>
      </c>
      <c r="C36" s="81" t="s">
        <v>1011</v>
      </c>
      <c r="D36" s="81" t="s">
        <v>90</v>
      </c>
      <c r="E36" s="81" t="s">
        <v>251</v>
      </c>
      <c r="F36" s="81" t="s">
        <v>790</v>
      </c>
      <c r="G36" s="81" t="s">
        <v>790</v>
      </c>
      <c r="H36">
        <v>1215</v>
      </c>
      <c r="I36">
        <v>190</v>
      </c>
      <c r="J36">
        <v>1825</v>
      </c>
      <c r="K36">
        <v>19</v>
      </c>
      <c r="L36">
        <v>33.1</v>
      </c>
      <c r="M36">
        <v>820</v>
      </c>
      <c r="O36">
        <v>660</v>
      </c>
      <c r="P36">
        <v>975</v>
      </c>
      <c r="Q36">
        <v>980</v>
      </c>
      <c r="R36">
        <v>700</v>
      </c>
      <c r="S36">
        <v>700</v>
      </c>
      <c r="V36">
        <v>1705</v>
      </c>
      <c r="AA36">
        <v>1825</v>
      </c>
      <c r="AB36">
        <v>54.75</v>
      </c>
      <c r="AC36" s="81" t="s">
        <v>1126</v>
      </c>
      <c r="AD36" s="81"/>
      <c r="AE36" s="81" t="s">
        <v>253</v>
      </c>
      <c r="AF36" s="81" t="s">
        <v>254</v>
      </c>
    </row>
    <row r="37" spans="2:32">
      <c r="B37" s="81" t="s">
        <v>255</v>
      </c>
      <c r="C37" s="81" t="s">
        <v>1012</v>
      </c>
      <c r="D37" s="81" t="s">
        <v>90</v>
      </c>
      <c r="E37" s="81" t="s">
        <v>258</v>
      </c>
      <c r="F37" s="81" t="s">
        <v>790</v>
      </c>
      <c r="G37" s="81" t="s">
        <v>790</v>
      </c>
      <c r="H37">
        <v>1215</v>
      </c>
      <c r="I37">
        <v>198</v>
      </c>
      <c r="J37">
        <v>1810</v>
      </c>
      <c r="K37">
        <v>25.8</v>
      </c>
      <c r="L37">
        <v>32.700000000000003</v>
      </c>
      <c r="M37">
        <v>800</v>
      </c>
      <c r="O37">
        <v>760</v>
      </c>
      <c r="P37">
        <v>970</v>
      </c>
      <c r="Q37">
        <v>980</v>
      </c>
      <c r="R37">
        <v>700</v>
      </c>
      <c r="S37">
        <v>700</v>
      </c>
      <c r="V37">
        <v>1720</v>
      </c>
      <c r="AA37">
        <v>1810</v>
      </c>
      <c r="AB37">
        <v>55.3</v>
      </c>
      <c r="AC37" s="81" t="s">
        <v>1127</v>
      </c>
      <c r="AD37" s="81"/>
      <c r="AE37" s="81" t="s">
        <v>260</v>
      </c>
      <c r="AF37" s="81" t="s">
        <v>261</v>
      </c>
    </row>
    <row r="38" spans="2:32">
      <c r="B38" s="81" t="s">
        <v>262</v>
      </c>
      <c r="C38" s="81" t="s">
        <v>1012</v>
      </c>
      <c r="D38" s="81" t="s">
        <v>90</v>
      </c>
      <c r="E38" s="81" t="s">
        <v>258</v>
      </c>
      <c r="F38" s="81" t="s">
        <v>263</v>
      </c>
      <c r="G38" s="81" t="s">
        <v>263</v>
      </c>
      <c r="H38">
        <v>1215</v>
      </c>
      <c r="I38">
        <v>198</v>
      </c>
      <c r="J38">
        <v>1810</v>
      </c>
      <c r="K38">
        <v>12</v>
      </c>
      <c r="L38">
        <v>16</v>
      </c>
      <c r="M38">
        <v>480</v>
      </c>
      <c r="O38">
        <v>650</v>
      </c>
      <c r="P38">
        <v>970</v>
      </c>
      <c r="Q38">
        <v>980</v>
      </c>
      <c r="R38">
        <v>950</v>
      </c>
      <c r="S38">
        <v>700</v>
      </c>
      <c r="V38">
        <v>1720</v>
      </c>
      <c r="AA38">
        <v>1810</v>
      </c>
      <c r="AB38">
        <v>55.3</v>
      </c>
      <c r="AC38" s="81" t="s">
        <v>1128</v>
      </c>
      <c r="AD38" s="81"/>
      <c r="AE38" s="81" t="s">
        <v>265</v>
      </c>
      <c r="AF38" s="81"/>
    </row>
    <row r="39" spans="2:32">
      <c r="B39" s="81" t="s">
        <v>266</v>
      </c>
      <c r="C39" s="81" t="s">
        <v>1045</v>
      </c>
      <c r="D39" s="81" t="s">
        <v>90</v>
      </c>
      <c r="E39" s="81" t="s">
        <v>268</v>
      </c>
      <c r="F39" s="81" t="s">
        <v>263</v>
      </c>
      <c r="G39" s="81" t="s">
        <v>263</v>
      </c>
      <c r="H39">
        <v>1230</v>
      </c>
      <c r="I39">
        <v>195</v>
      </c>
      <c r="J39">
        <v>2000</v>
      </c>
      <c r="K39">
        <v>41.7</v>
      </c>
      <c r="L39">
        <v>50</v>
      </c>
      <c r="M39">
        <v>870</v>
      </c>
      <c r="O39">
        <v>800</v>
      </c>
      <c r="P39">
        <v>970</v>
      </c>
      <c r="Q39">
        <v>980</v>
      </c>
      <c r="R39">
        <v>680</v>
      </c>
      <c r="S39">
        <v>700</v>
      </c>
      <c r="V39">
        <v>2100</v>
      </c>
      <c r="AA39">
        <v>2000</v>
      </c>
      <c r="AB39">
        <v>60</v>
      </c>
      <c r="AC39" s="81" t="s">
        <v>1129</v>
      </c>
      <c r="AD39" s="81"/>
      <c r="AE39" s="81" t="s">
        <v>270</v>
      </c>
      <c r="AF39" s="81" t="s">
        <v>271</v>
      </c>
    </row>
    <row r="40" spans="2:32">
      <c r="B40" s="81" t="s">
        <v>272</v>
      </c>
      <c r="C40" s="81" t="s">
        <v>1046</v>
      </c>
      <c r="D40" s="81" t="s">
        <v>90</v>
      </c>
      <c r="E40" s="81" t="s">
        <v>268</v>
      </c>
      <c r="F40" s="81" t="s">
        <v>263</v>
      </c>
      <c r="G40" s="81" t="s">
        <v>263</v>
      </c>
      <c r="H40">
        <v>1230</v>
      </c>
      <c r="I40">
        <v>195</v>
      </c>
      <c r="J40">
        <v>1953</v>
      </c>
      <c r="K40">
        <v>29.9</v>
      </c>
      <c r="L40">
        <v>35.299999999999997</v>
      </c>
      <c r="M40">
        <v>620</v>
      </c>
      <c r="O40">
        <v>860</v>
      </c>
      <c r="P40">
        <v>980</v>
      </c>
      <c r="Q40">
        <v>990</v>
      </c>
      <c r="R40">
        <v>950</v>
      </c>
      <c r="S40">
        <v>700</v>
      </c>
      <c r="V40">
        <v>2100</v>
      </c>
      <c r="AA40">
        <v>2000</v>
      </c>
      <c r="AB40">
        <v>60</v>
      </c>
      <c r="AC40" s="81" t="s">
        <v>1130</v>
      </c>
      <c r="AD40" s="81" t="s">
        <v>1096</v>
      </c>
      <c r="AE40" s="81" t="s">
        <v>274</v>
      </c>
      <c r="AF40" s="81" t="s">
        <v>179</v>
      </c>
    </row>
    <row r="41" spans="2:32">
      <c r="B41" s="81" t="s">
        <v>275</v>
      </c>
      <c r="C41" s="81" t="s">
        <v>1047</v>
      </c>
      <c r="D41" s="81" t="s">
        <v>193</v>
      </c>
      <c r="E41" s="81" t="s">
        <v>277</v>
      </c>
      <c r="F41" s="81" t="s">
        <v>790</v>
      </c>
      <c r="G41" s="81" t="s">
        <v>790</v>
      </c>
      <c r="H41">
        <v>1230</v>
      </c>
      <c r="I41">
        <v>208</v>
      </c>
      <c r="K41">
        <v>22</v>
      </c>
      <c r="L41">
        <v>29.9</v>
      </c>
      <c r="M41">
        <v>620</v>
      </c>
      <c r="O41">
        <v>740</v>
      </c>
      <c r="P41">
        <v>980</v>
      </c>
      <c r="Q41">
        <v>980</v>
      </c>
      <c r="R41">
        <v>950</v>
      </c>
      <c r="S41">
        <v>700</v>
      </c>
      <c r="V41">
        <v>1745</v>
      </c>
      <c r="AA41">
        <v>1800</v>
      </c>
      <c r="AC41" s="81" t="s">
        <v>1117</v>
      </c>
      <c r="AD41" s="81"/>
      <c r="AE41" s="81" t="s">
        <v>278</v>
      </c>
      <c r="AF41" s="81" t="s">
        <v>279</v>
      </c>
    </row>
    <row r="42" spans="2:32">
      <c r="B42" s="81" t="s">
        <v>280</v>
      </c>
      <c r="C42" s="81" t="s">
        <v>1047</v>
      </c>
      <c r="D42" s="81" t="s">
        <v>193</v>
      </c>
      <c r="E42" s="81" t="s">
        <v>281</v>
      </c>
      <c r="F42" s="81" t="s">
        <v>103</v>
      </c>
      <c r="G42" s="81" t="s">
        <v>103</v>
      </c>
      <c r="H42">
        <v>1215</v>
      </c>
      <c r="I42">
        <v>208</v>
      </c>
      <c r="J42">
        <v>1794.75</v>
      </c>
      <c r="K42">
        <v>38</v>
      </c>
      <c r="L42">
        <v>53</v>
      </c>
      <c r="M42">
        <v>897</v>
      </c>
      <c r="O42">
        <v>800</v>
      </c>
      <c r="P42">
        <v>960</v>
      </c>
      <c r="Q42">
        <v>980</v>
      </c>
      <c r="R42">
        <v>685</v>
      </c>
      <c r="S42">
        <v>700</v>
      </c>
      <c r="V42">
        <v>1770</v>
      </c>
      <c r="AA42">
        <v>1775</v>
      </c>
      <c r="AC42" s="81" t="s">
        <v>1131</v>
      </c>
      <c r="AD42" s="81"/>
      <c r="AE42" s="81" t="s">
        <v>283</v>
      </c>
      <c r="AF42" s="81" t="s">
        <v>284</v>
      </c>
    </row>
    <row r="43" spans="2:32">
      <c r="B43" s="81" t="s">
        <v>285</v>
      </c>
      <c r="C43" s="81" t="s">
        <v>1048</v>
      </c>
      <c r="D43" s="81" t="s">
        <v>90</v>
      </c>
      <c r="E43" s="81" t="s">
        <v>287</v>
      </c>
      <c r="F43" s="81" t="s">
        <v>790</v>
      </c>
      <c r="G43" s="81" t="s">
        <v>790</v>
      </c>
      <c r="H43">
        <v>1235</v>
      </c>
      <c r="I43">
        <v>220</v>
      </c>
      <c r="J43">
        <v>1980</v>
      </c>
      <c r="K43">
        <v>17.8</v>
      </c>
      <c r="L43">
        <v>25</v>
      </c>
      <c r="M43">
        <v>740</v>
      </c>
      <c r="O43">
        <v>570</v>
      </c>
      <c r="P43">
        <v>950</v>
      </c>
      <c r="Q43">
        <v>980</v>
      </c>
      <c r="R43">
        <v>700</v>
      </c>
      <c r="S43">
        <v>700</v>
      </c>
      <c r="V43">
        <v>1960</v>
      </c>
      <c r="AA43">
        <v>1980</v>
      </c>
      <c r="AB43">
        <v>60.4</v>
      </c>
      <c r="AC43" s="81" t="s">
        <v>1132</v>
      </c>
      <c r="AD43" s="81" t="s">
        <v>1097</v>
      </c>
      <c r="AE43" s="81" t="s">
        <v>292</v>
      </c>
      <c r="AF43" s="81" t="s">
        <v>199</v>
      </c>
    </row>
    <row r="44" spans="2:32">
      <c r="B44" s="81" t="s">
        <v>293</v>
      </c>
      <c r="C44" s="81" t="s">
        <v>1089</v>
      </c>
      <c r="D44" s="81" t="s">
        <v>193</v>
      </c>
      <c r="E44" s="81" t="s">
        <v>296</v>
      </c>
      <c r="F44" s="81" t="s">
        <v>297</v>
      </c>
      <c r="G44" s="81" t="s">
        <v>297</v>
      </c>
      <c r="H44">
        <v>1215</v>
      </c>
      <c r="I44">
        <v>230</v>
      </c>
      <c r="J44">
        <v>2419.9499999999998</v>
      </c>
      <c r="K44">
        <v>27</v>
      </c>
      <c r="L44">
        <v>37.299999999999997</v>
      </c>
      <c r="M44">
        <v>600</v>
      </c>
      <c r="O44">
        <v>840</v>
      </c>
      <c r="P44">
        <v>970</v>
      </c>
      <c r="Q44">
        <v>980</v>
      </c>
      <c r="R44">
        <v>700</v>
      </c>
      <c r="S44">
        <v>700</v>
      </c>
      <c r="V44">
        <v>2330</v>
      </c>
      <c r="AA44">
        <v>2395</v>
      </c>
      <c r="AC44" s="81" t="s">
        <v>1128</v>
      </c>
      <c r="AD44" s="81"/>
      <c r="AE44" s="81" t="s">
        <v>298</v>
      </c>
      <c r="AF44" s="81" t="s">
        <v>299</v>
      </c>
    </row>
    <row r="45" spans="2:32">
      <c r="B45" s="81" t="s">
        <v>300</v>
      </c>
      <c r="C45" s="81" t="s">
        <v>1049</v>
      </c>
      <c r="D45" s="81" t="s">
        <v>193</v>
      </c>
      <c r="E45" s="81" t="s">
        <v>302</v>
      </c>
      <c r="F45" s="81" t="s">
        <v>790</v>
      </c>
      <c r="G45" s="81" t="s">
        <v>790</v>
      </c>
      <c r="H45">
        <v>1215</v>
      </c>
      <c r="I45">
        <v>233</v>
      </c>
      <c r="J45">
        <v>2384.6</v>
      </c>
      <c r="K45">
        <v>50</v>
      </c>
      <c r="L45">
        <v>66</v>
      </c>
      <c r="M45">
        <v>963</v>
      </c>
      <c r="O45">
        <v>800</v>
      </c>
      <c r="P45">
        <v>940</v>
      </c>
      <c r="Q45">
        <v>980</v>
      </c>
      <c r="R45">
        <v>680</v>
      </c>
      <c r="S45">
        <v>700</v>
      </c>
      <c r="V45">
        <v>2390</v>
      </c>
      <c r="AA45">
        <v>2360</v>
      </c>
      <c r="AC45" s="81" t="s">
        <v>1133</v>
      </c>
      <c r="AD45" s="81"/>
      <c r="AE45" s="81" t="s">
        <v>304</v>
      </c>
      <c r="AF45" s="81" t="s">
        <v>305</v>
      </c>
    </row>
    <row r="46" spans="2:32">
      <c r="B46" s="81" t="s">
        <v>306</v>
      </c>
      <c r="C46" s="81" t="s">
        <v>1090</v>
      </c>
      <c r="D46" s="81" t="s">
        <v>193</v>
      </c>
      <c r="E46" s="81" t="s">
        <v>296</v>
      </c>
      <c r="F46" s="81" t="s">
        <v>297</v>
      </c>
      <c r="G46" s="81" t="s">
        <v>297</v>
      </c>
      <c r="H46">
        <v>1215</v>
      </c>
      <c r="I46">
        <v>230</v>
      </c>
      <c r="J46">
        <v>2419.9499999999998</v>
      </c>
      <c r="K46">
        <v>27</v>
      </c>
      <c r="L46">
        <v>37.299999999999997</v>
      </c>
      <c r="M46">
        <v>600</v>
      </c>
      <c r="O46">
        <v>840</v>
      </c>
      <c r="P46">
        <v>970</v>
      </c>
      <c r="Q46">
        <v>980</v>
      </c>
      <c r="R46">
        <v>700</v>
      </c>
      <c r="S46">
        <v>700</v>
      </c>
      <c r="V46">
        <v>2330</v>
      </c>
      <c r="AA46">
        <v>2395</v>
      </c>
      <c r="AC46" s="81" t="s">
        <v>1134</v>
      </c>
      <c r="AD46" s="81"/>
      <c r="AE46" s="81" t="s">
        <v>309</v>
      </c>
      <c r="AF46" s="81" t="s">
        <v>299</v>
      </c>
    </row>
    <row r="47" spans="2:32">
      <c r="B47" s="81" t="s">
        <v>310</v>
      </c>
      <c r="C47" s="81" t="s">
        <v>1050</v>
      </c>
      <c r="D47" s="81" t="s">
        <v>90</v>
      </c>
      <c r="E47" s="81" t="s">
        <v>312</v>
      </c>
      <c r="F47" s="81" t="s">
        <v>790</v>
      </c>
      <c r="G47" s="81" t="s">
        <v>790</v>
      </c>
      <c r="H47">
        <v>1330</v>
      </c>
      <c r="I47">
        <v>175</v>
      </c>
      <c r="J47">
        <v>1420</v>
      </c>
      <c r="K47">
        <v>22.5</v>
      </c>
      <c r="L47">
        <v>30.7</v>
      </c>
      <c r="M47">
        <v>700</v>
      </c>
      <c r="O47">
        <v>760</v>
      </c>
      <c r="P47">
        <v>970</v>
      </c>
      <c r="Q47">
        <v>980</v>
      </c>
      <c r="R47">
        <v>700</v>
      </c>
      <c r="S47">
        <v>700</v>
      </c>
      <c r="V47">
        <v>1455</v>
      </c>
      <c r="AA47">
        <v>1420</v>
      </c>
      <c r="AB47">
        <v>44.6</v>
      </c>
      <c r="AC47" s="81" t="s">
        <v>1120</v>
      </c>
      <c r="AD47" s="81"/>
      <c r="AE47" s="81" t="s">
        <v>313</v>
      </c>
      <c r="AF47" s="81" t="s">
        <v>206</v>
      </c>
    </row>
    <row r="48" spans="2:32">
      <c r="B48" s="81" t="s">
        <v>314</v>
      </c>
      <c r="C48" s="81" t="s">
        <v>1051</v>
      </c>
      <c r="D48" s="81" t="s">
        <v>90</v>
      </c>
      <c r="E48" s="81" t="s">
        <v>317</v>
      </c>
      <c r="F48" s="81" t="s">
        <v>263</v>
      </c>
      <c r="G48" s="81" t="s">
        <v>263</v>
      </c>
      <c r="H48">
        <v>1375</v>
      </c>
      <c r="I48">
        <v>160</v>
      </c>
      <c r="J48">
        <v>1410</v>
      </c>
      <c r="K48">
        <v>10.7</v>
      </c>
      <c r="L48">
        <v>15.7</v>
      </c>
      <c r="M48">
        <v>560</v>
      </c>
      <c r="O48">
        <v>725</v>
      </c>
      <c r="P48">
        <v>980</v>
      </c>
      <c r="Q48">
        <v>980</v>
      </c>
      <c r="R48">
        <v>700</v>
      </c>
      <c r="S48">
        <v>700</v>
      </c>
      <c r="V48">
        <v>1350</v>
      </c>
      <c r="AA48">
        <v>1410</v>
      </c>
      <c r="AB48">
        <v>42.3</v>
      </c>
      <c r="AC48" s="81" t="s">
        <v>1111</v>
      </c>
      <c r="AD48" s="81"/>
      <c r="AE48" s="81" t="s">
        <v>318</v>
      </c>
      <c r="AF48" s="81" t="s">
        <v>319</v>
      </c>
    </row>
    <row r="49" spans="2:32">
      <c r="B49" s="81" t="s">
        <v>320</v>
      </c>
      <c r="C49" s="81" t="s">
        <v>1052</v>
      </c>
      <c r="D49" s="81" t="s">
        <v>90</v>
      </c>
      <c r="E49" s="81" t="s">
        <v>322</v>
      </c>
      <c r="F49" s="81" t="s">
        <v>263</v>
      </c>
      <c r="G49" s="81" t="s">
        <v>263</v>
      </c>
      <c r="H49">
        <v>1380</v>
      </c>
      <c r="I49">
        <v>182</v>
      </c>
      <c r="J49">
        <v>2025</v>
      </c>
      <c r="AA49">
        <v>2025</v>
      </c>
      <c r="AB49">
        <v>59.75</v>
      </c>
      <c r="AC49" s="81" t="s">
        <v>1135</v>
      </c>
      <c r="AD49" s="81"/>
      <c r="AE49" s="81" t="s">
        <v>324</v>
      </c>
      <c r="AF49" s="81" t="s">
        <v>325</v>
      </c>
    </row>
    <row r="50" spans="2:32">
      <c r="B50" s="81" t="s">
        <v>326</v>
      </c>
      <c r="C50" s="81" t="s">
        <v>1013</v>
      </c>
      <c r="D50" s="81" t="s">
        <v>90</v>
      </c>
      <c r="E50" s="81" t="s">
        <v>329</v>
      </c>
      <c r="F50" s="81" t="s">
        <v>790</v>
      </c>
      <c r="G50" s="81" t="s">
        <v>790</v>
      </c>
      <c r="H50">
        <v>1355</v>
      </c>
      <c r="I50">
        <v>170</v>
      </c>
      <c r="J50">
        <v>1310</v>
      </c>
      <c r="K50">
        <v>19.5</v>
      </c>
      <c r="L50">
        <v>26.7</v>
      </c>
      <c r="M50">
        <v>900</v>
      </c>
      <c r="O50">
        <v>750</v>
      </c>
      <c r="P50">
        <v>960</v>
      </c>
      <c r="Q50">
        <v>980</v>
      </c>
      <c r="R50">
        <v>700</v>
      </c>
      <c r="S50">
        <v>700</v>
      </c>
      <c r="V50">
        <v>1310</v>
      </c>
      <c r="AA50">
        <v>1310</v>
      </c>
      <c r="AB50">
        <v>40.299999999999997</v>
      </c>
      <c r="AC50" s="81" t="s">
        <v>1136</v>
      </c>
      <c r="AD50" s="81"/>
      <c r="AE50" s="81" t="s">
        <v>331</v>
      </c>
      <c r="AF50" s="81" t="s">
        <v>332</v>
      </c>
    </row>
    <row r="51" spans="2:32">
      <c r="B51" s="81" t="s">
        <v>333</v>
      </c>
      <c r="C51" s="81" t="s">
        <v>1053</v>
      </c>
      <c r="D51" s="81" t="s">
        <v>90</v>
      </c>
      <c r="E51" s="81" t="s">
        <v>334</v>
      </c>
      <c r="F51" s="81" t="s">
        <v>790</v>
      </c>
      <c r="G51" s="81" t="s">
        <v>790</v>
      </c>
      <c r="H51">
        <v>1375</v>
      </c>
      <c r="I51">
        <v>162</v>
      </c>
      <c r="J51">
        <v>1295</v>
      </c>
      <c r="K51">
        <v>18.3</v>
      </c>
      <c r="L51">
        <v>24.9</v>
      </c>
      <c r="M51">
        <v>700</v>
      </c>
      <c r="O51">
        <v>860</v>
      </c>
      <c r="P51">
        <v>940</v>
      </c>
      <c r="Q51">
        <v>980</v>
      </c>
      <c r="R51">
        <v>700</v>
      </c>
      <c r="S51">
        <v>700</v>
      </c>
      <c r="V51">
        <v>1190</v>
      </c>
      <c r="W51" t="s">
        <v>335</v>
      </c>
      <c r="X51" t="s">
        <v>336</v>
      </c>
      <c r="Y51" t="s">
        <v>1099</v>
      </c>
      <c r="Z51">
        <v>47</v>
      </c>
      <c r="AA51">
        <v>1340</v>
      </c>
      <c r="AB51">
        <v>40.199999999999996</v>
      </c>
      <c r="AC51" s="81" t="s">
        <v>1114</v>
      </c>
      <c r="AD51" s="81"/>
      <c r="AE51" s="81" t="s">
        <v>337</v>
      </c>
      <c r="AF51" s="81" t="s">
        <v>338</v>
      </c>
    </row>
    <row r="52" spans="2:32">
      <c r="B52" s="81" t="s">
        <v>339</v>
      </c>
      <c r="C52" s="81" t="s">
        <v>1014</v>
      </c>
      <c r="D52" s="81" t="s">
        <v>90</v>
      </c>
      <c r="E52" s="81" t="s">
        <v>341</v>
      </c>
      <c r="F52" s="81" t="s">
        <v>790</v>
      </c>
      <c r="G52" s="81" t="s">
        <v>790</v>
      </c>
      <c r="H52">
        <v>1355</v>
      </c>
      <c r="I52">
        <v>186</v>
      </c>
      <c r="J52">
        <v>1520</v>
      </c>
      <c r="K52">
        <v>21</v>
      </c>
      <c r="L52">
        <v>29.1</v>
      </c>
      <c r="M52">
        <v>800</v>
      </c>
      <c r="O52">
        <v>810</v>
      </c>
      <c r="P52">
        <v>960</v>
      </c>
      <c r="Q52">
        <v>980</v>
      </c>
      <c r="R52">
        <v>700</v>
      </c>
      <c r="S52">
        <v>700</v>
      </c>
      <c r="V52">
        <v>1415</v>
      </c>
      <c r="AA52">
        <v>1520</v>
      </c>
      <c r="AB52">
        <v>44.6</v>
      </c>
      <c r="AC52" s="81" t="s">
        <v>1128</v>
      </c>
      <c r="AD52" s="81"/>
      <c r="AE52" s="81" t="s">
        <v>342</v>
      </c>
      <c r="AF52" s="81" t="s">
        <v>343</v>
      </c>
    </row>
    <row r="53" spans="2:32">
      <c r="B53" s="81" t="s">
        <v>344</v>
      </c>
      <c r="C53" s="81" t="s">
        <v>1054</v>
      </c>
      <c r="D53" s="81" t="s">
        <v>90</v>
      </c>
      <c r="E53" s="81" t="s">
        <v>345</v>
      </c>
      <c r="F53" s="81" t="s">
        <v>790</v>
      </c>
      <c r="G53" s="81" t="s">
        <v>790</v>
      </c>
      <c r="H53">
        <v>1375</v>
      </c>
      <c r="I53">
        <v>198</v>
      </c>
      <c r="J53">
        <v>1535</v>
      </c>
      <c r="K53">
        <v>18.3</v>
      </c>
      <c r="L53">
        <v>24.9</v>
      </c>
      <c r="M53">
        <v>600</v>
      </c>
      <c r="O53">
        <v>910</v>
      </c>
      <c r="P53">
        <v>960</v>
      </c>
      <c r="Q53">
        <v>980</v>
      </c>
      <c r="R53">
        <v>700</v>
      </c>
      <c r="S53">
        <v>900</v>
      </c>
      <c r="V53">
        <v>1580</v>
      </c>
      <c r="W53" t="s">
        <v>335</v>
      </c>
      <c r="X53" t="s">
        <v>1098</v>
      </c>
      <c r="Y53" t="s">
        <v>1099</v>
      </c>
      <c r="Z53">
        <v>47</v>
      </c>
      <c r="AA53">
        <v>1580.0250000000001</v>
      </c>
      <c r="AB53">
        <v>45.400750000000002</v>
      </c>
      <c r="AC53" s="81" t="s">
        <v>1129</v>
      </c>
      <c r="AD53" s="81"/>
      <c r="AE53" s="81" t="s">
        <v>346</v>
      </c>
      <c r="AF53" s="81" t="s">
        <v>347</v>
      </c>
    </row>
    <row r="54" spans="2:32">
      <c r="B54" s="81" t="s">
        <v>348</v>
      </c>
      <c r="C54" s="81" t="s">
        <v>1054</v>
      </c>
      <c r="D54" s="81" t="s">
        <v>193</v>
      </c>
      <c r="E54" s="81" t="s">
        <v>345</v>
      </c>
      <c r="F54" s="81" t="s">
        <v>790</v>
      </c>
      <c r="G54" s="81" t="s">
        <v>790</v>
      </c>
      <c r="H54">
        <v>1375</v>
      </c>
      <c r="I54">
        <v>198</v>
      </c>
      <c r="J54">
        <v>1594.8252500000001</v>
      </c>
      <c r="K54">
        <v>18.3</v>
      </c>
      <c r="L54">
        <v>24.9</v>
      </c>
      <c r="M54">
        <v>600</v>
      </c>
      <c r="O54">
        <v>910</v>
      </c>
      <c r="P54">
        <v>960</v>
      </c>
      <c r="Q54">
        <v>980</v>
      </c>
      <c r="R54">
        <v>700</v>
      </c>
      <c r="S54">
        <v>900</v>
      </c>
      <c r="V54">
        <v>1580</v>
      </c>
      <c r="W54" t="s">
        <v>335</v>
      </c>
      <c r="X54" t="s">
        <v>336</v>
      </c>
      <c r="Y54" t="s">
        <v>1099</v>
      </c>
      <c r="Z54">
        <v>47</v>
      </c>
      <c r="AA54">
        <v>1580.0250000000001</v>
      </c>
      <c r="AC54" s="81" t="s">
        <v>1129</v>
      </c>
      <c r="AD54" s="81"/>
      <c r="AE54" s="81" t="s">
        <v>346</v>
      </c>
      <c r="AF54" s="81"/>
    </row>
    <row r="55" spans="2:32">
      <c r="B55" s="81" t="s">
        <v>349</v>
      </c>
      <c r="C55" s="81" t="s">
        <v>1015</v>
      </c>
      <c r="D55" s="81" t="s">
        <v>90</v>
      </c>
      <c r="E55" s="81" t="s">
        <v>341</v>
      </c>
      <c r="F55" s="81" t="s">
        <v>790</v>
      </c>
      <c r="G55" s="81" t="s">
        <v>790</v>
      </c>
      <c r="H55">
        <v>1350</v>
      </c>
      <c r="I55">
        <v>186</v>
      </c>
      <c r="J55">
        <v>1520</v>
      </c>
      <c r="K55">
        <v>12.5</v>
      </c>
      <c r="L55">
        <v>17</v>
      </c>
      <c r="M55">
        <v>530</v>
      </c>
      <c r="O55">
        <v>770</v>
      </c>
      <c r="P55">
        <v>950</v>
      </c>
      <c r="Q55">
        <v>980</v>
      </c>
      <c r="R55">
        <v>700</v>
      </c>
      <c r="S55">
        <v>700</v>
      </c>
      <c r="V55">
        <v>1415</v>
      </c>
      <c r="AA55">
        <v>1520</v>
      </c>
      <c r="AB55">
        <v>44.6</v>
      </c>
      <c r="AC55" s="81" t="s">
        <v>1117</v>
      </c>
      <c r="AD55" s="81"/>
      <c r="AE55" s="81" t="s">
        <v>350</v>
      </c>
      <c r="AF55" s="81"/>
    </row>
    <row r="56" spans="2:32">
      <c r="B56" s="81" t="s">
        <v>351</v>
      </c>
      <c r="C56" s="81" t="s">
        <v>1055</v>
      </c>
      <c r="D56" s="81" t="s">
        <v>90</v>
      </c>
      <c r="E56" s="81" t="s">
        <v>352</v>
      </c>
      <c r="F56" s="81" t="s">
        <v>790</v>
      </c>
      <c r="G56" s="81" t="s">
        <v>790</v>
      </c>
      <c r="H56">
        <v>1375</v>
      </c>
      <c r="I56">
        <v>175</v>
      </c>
      <c r="J56">
        <v>1500</v>
      </c>
      <c r="K56">
        <v>24</v>
      </c>
      <c r="L56">
        <v>36</v>
      </c>
      <c r="M56">
        <v>897</v>
      </c>
      <c r="O56">
        <v>830</v>
      </c>
      <c r="P56">
        <v>930</v>
      </c>
      <c r="Q56">
        <v>980</v>
      </c>
      <c r="R56">
        <v>680</v>
      </c>
      <c r="S56">
        <v>700</v>
      </c>
      <c r="V56">
        <v>1550</v>
      </c>
      <c r="AA56">
        <v>1500</v>
      </c>
      <c r="AB56">
        <v>45</v>
      </c>
      <c r="AC56" s="81" t="s">
        <v>1137</v>
      </c>
      <c r="AD56" s="81"/>
      <c r="AE56" s="81" t="s">
        <v>354</v>
      </c>
      <c r="AF56" s="81" t="s">
        <v>179</v>
      </c>
    </row>
    <row r="57" spans="2:32">
      <c r="B57" s="81" t="s">
        <v>355</v>
      </c>
      <c r="C57" s="81" t="s">
        <v>1056</v>
      </c>
      <c r="D57" s="81" t="s">
        <v>193</v>
      </c>
      <c r="E57" s="81" t="s">
        <v>358</v>
      </c>
      <c r="F57" s="81" t="s">
        <v>203</v>
      </c>
      <c r="G57" s="81" t="s">
        <v>203</v>
      </c>
      <c r="H57">
        <v>1375</v>
      </c>
      <c r="I57">
        <v>202</v>
      </c>
      <c r="J57">
        <v>2274.5</v>
      </c>
      <c r="K57">
        <v>26</v>
      </c>
      <c r="L57">
        <v>34.799999999999997</v>
      </c>
      <c r="M57">
        <v>450</v>
      </c>
      <c r="O57">
        <v>720</v>
      </c>
      <c r="P57">
        <v>970</v>
      </c>
      <c r="Q57">
        <v>980</v>
      </c>
      <c r="R57">
        <v>700</v>
      </c>
      <c r="S57">
        <v>700</v>
      </c>
      <c r="V57">
        <v>2125</v>
      </c>
      <c r="W57" t="s">
        <v>335</v>
      </c>
      <c r="X57" t="s">
        <v>359</v>
      </c>
      <c r="Y57" t="s">
        <v>1099</v>
      </c>
      <c r="Z57">
        <v>66</v>
      </c>
      <c r="AA57">
        <v>2250</v>
      </c>
      <c r="AC57" s="81" t="s">
        <v>1138</v>
      </c>
      <c r="AD57" s="81"/>
      <c r="AE57" s="81" t="s">
        <v>361</v>
      </c>
      <c r="AF57" s="81" t="s">
        <v>362</v>
      </c>
    </row>
    <row r="58" spans="2:32">
      <c r="B58" s="81" t="s">
        <v>363</v>
      </c>
      <c r="C58" s="81" t="s">
        <v>1057</v>
      </c>
      <c r="D58" s="81" t="s">
        <v>193</v>
      </c>
      <c r="E58" s="81" t="s">
        <v>366</v>
      </c>
      <c r="F58" s="81" t="s">
        <v>203</v>
      </c>
      <c r="G58" s="81" t="s">
        <v>203</v>
      </c>
      <c r="H58">
        <v>1360</v>
      </c>
      <c r="I58">
        <v>261</v>
      </c>
      <c r="J58">
        <v>2870.4</v>
      </c>
      <c r="K58">
        <v>55</v>
      </c>
      <c r="L58">
        <v>31</v>
      </c>
      <c r="M58">
        <v>568</v>
      </c>
      <c r="O58">
        <v>840</v>
      </c>
      <c r="P58">
        <v>999</v>
      </c>
      <c r="Q58">
        <v>990</v>
      </c>
      <c r="R58">
        <v>680</v>
      </c>
      <c r="S58">
        <v>700</v>
      </c>
      <c r="V58">
        <v>2820</v>
      </c>
      <c r="W58" t="s">
        <v>335</v>
      </c>
      <c r="X58" t="s">
        <v>367</v>
      </c>
      <c r="Y58" t="s">
        <v>1099</v>
      </c>
      <c r="Z58">
        <v>94</v>
      </c>
      <c r="AA58">
        <v>2840</v>
      </c>
      <c r="AC58" s="81" t="s">
        <v>1120</v>
      </c>
      <c r="AD58" s="81"/>
      <c r="AE58" s="81" t="s">
        <v>369</v>
      </c>
      <c r="AF58" s="81" t="s">
        <v>370</v>
      </c>
    </row>
    <row r="59" spans="2:32">
      <c r="B59" s="81" t="s">
        <v>371</v>
      </c>
      <c r="C59" s="81" t="s">
        <v>1016</v>
      </c>
      <c r="D59" s="81" t="s">
        <v>90</v>
      </c>
      <c r="E59" s="81" t="s">
        <v>374</v>
      </c>
      <c r="F59" s="81" t="s">
        <v>790</v>
      </c>
      <c r="G59" s="81" t="s">
        <v>790</v>
      </c>
      <c r="H59">
        <v>1425</v>
      </c>
      <c r="I59">
        <v>148</v>
      </c>
      <c r="J59">
        <v>855</v>
      </c>
      <c r="K59">
        <v>19</v>
      </c>
      <c r="L59">
        <v>30</v>
      </c>
      <c r="M59">
        <v>650</v>
      </c>
      <c r="O59">
        <v>680</v>
      </c>
      <c r="P59">
        <v>970</v>
      </c>
      <c r="Q59">
        <v>980</v>
      </c>
      <c r="R59">
        <v>700</v>
      </c>
      <c r="S59">
        <v>700</v>
      </c>
      <c r="V59">
        <v>875</v>
      </c>
      <c r="AA59">
        <v>855</v>
      </c>
      <c r="AB59">
        <v>24.65</v>
      </c>
      <c r="AC59" s="81" t="s">
        <v>1139</v>
      </c>
      <c r="AD59" s="81"/>
      <c r="AE59" s="81" t="s">
        <v>376</v>
      </c>
      <c r="AF59" s="81"/>
    </row>
    <row r="60" spans="2:32">
      <c r="B60" s="81" t="s">
        <v>377</v>
      </c>
      <c r="C60" s="81" t="s">
        <v>1017</v>
      </c>
      <c r="D60" s="81" t="s">
        <v>90</v>
      </c>
      <c r="E60" s="81" t="s">
        <v>379</v>
      </c>
      <c r="F60" s="81" t="s">
        <v>790</v>
      </c>
      <c r="G60" s="81" t="s">
        <v>790</v>
      </c>
      <c r="H60">
        <v>1430</v>
      </c>
      <c r="I60">
        <v>152</v>
      </c>
      <c r="J60">
        <v>1190</v>
      </c>
      <c r="K60">
        <v>18.899999999999999</v>
      </c>
      <c r="L60">
        <v>32</v>
      </c>
      <c r="M60">
        <v>830</v>
      </c>
      <c r="O60">
        <v>840</v>
      </c>
      <c r="P60">
        <v>950</v>
      </c>
      <c r="Q60">
        <v>980</v>
      </c>
      <c r="R60">
        <v>670</v>
      </c>
      <c r="S60">
        <v>700</v>
      </c>
      <c r="V60">
        <v>1200</v>
      </c>
      <c r="AA60">
        <v>1190</v>
      </c>
      <c r="AB60">
        <v>34.699999999999996</v>
      </c>
      <c r="AC60" s="81" t="s">
        <v>1140</v>
      </c>
      <c r="AD60" s="81"/>
      <c r="AE60" s="81" t="s">
        <v>381</v>
      </c>
      <c r="AF60" s="81"/>
    </row>
    <row r="61" spans="2:32">
      <c r="B61" s="81" t="s">
        <v>382</v>
      </c>
      <c r="C61" s="81" t="s">
        <v>1018</v>
      </c>
      <c r="D61" s="81" t="s">
        <v>90</v>
      </c>
      <c r="E61" s="81" t="s">
        <v>384</v>
      </c>
      <c r="F61" s="81" t="s">
        <v>790</v>
      </c>
      <c r="G61" s="81" t="s">
        <v>790</v>
      </c>
      <c r="H61">
        <v>1435</v>
      </c>
      <c r="I61">
        <v>162</v>
      </c>
      <c r="J61">
        <v>1455</v>
      </c>
      <c r="K61">
        <v>20.5</v>
      </c>
      <c r="L61">
        <v>25.7</v>
      </c>
      <c r="M61">
        <v>880</v>
      </c>
      <c r="O61">
        <v>700</v>
      </c>
      <c r="P61">
        <v>960</v>
      </c>
      <c r="Q61">
        <v>980</v>
      </c>
      <c r="R61">
        <v>700</v>
      </c>
      <c r="S61">
        <v>700</v>
      </c>
      <c r="V61">
        <v>1360</v>
      </c>
      <c r="AA61">
        <v>1455</v>
      </c>
      <c r="AB61">
        <v>44.65</v>
      </c>
      <c r="AC61" s="81" t="s">
        <v>1116</v>
      </c>
      <c r="AD61" s="81"/>
      <c r="AE61" s="81" t="s">
        <v>386</v>
      </c>
      <c r="AF61" s="81" t="s">
        <v>387</v>
      </c>
    </row>
    <row r="62" spans="2:32">
      <c r="B62" s="81" t="s">
        <v>388</v>
      </c>
      <c r="C62" s="81" t="s">
        <v>1091</v>
      </c>
      <c r="D62" s="81" t="s">
        <v>90</v>
      </c>
      <c r="E62" s="81" t="s">
        <v>384</v>
      </c>
      <c r="F62" s="81" t="s">
        <v>790</v>
      </c>
      <c r="G62" s="81" t="s">
        <v>790</v>
      </c>
      <c r="H62">
        <v>1435</v>
      </c>
      <c r="I62">
        <v>168</v>
      </c>
      <c r="J62">
        <v>1455</v>
      </c>
      <c r="K62">
        <v>27.6</v>
      </c>
      <c r="L62">
        <v>40</v>
      </c>
      <c r="M62">
        <v>880</v>
      </c>
      <c r="O62">
        <v>700</v>
      </c>
      <c r="P62">
        <v>960</v>
      </c>
      <c r="Q62">
        <v>980</v>
      </c>
      <c r="R62">
        <v>700</v>
      </c>
      <c r="S62">
        <v>700</v>
      </c>
      <c r="V62">
        <v>1355</v>
      </c>
      <c r="AA62">
        <v>1455</v>
      </c>
      <c r="AB62">
        <v>44.65</v>
      </c>
      <c r="AC62" s="81" t="s">
        <v>1141</v>
      </c>
      <c r="AD62" s="81"/>
      <c r="AE62" s="81" t="s">
        <v>391</v>
      </c>
      <c r="AF62" s="81" t="s">
        <v>392</v>
      </c>
    </row>
    <row r="63" spans="2:32">
      <c r="B63" s="81" t="s">
        <v>393</v>
      </c>
      <c r="C63" s="81" t="s">
        <v>1019</v>
      </c>
      <c r="D63" s="81" t="s">
        <v>90</v>
      </c>
      <c r="E63" s="81" t="s">
        <v>394</v>
      </c>
      <c r="F63" s="81" t="s">
        <v>790</v>
      </c>
      <c r="G63" s="81" t="s">
        <v>790</v>
      </c>
      <c r="H63">
        <v>1435</v>
      </c>
      <c r="I63">
        <v>168</v>
      </c>
      <c r="J63">
        <v>1320</v>
      </c>
      <c r="K63">
        <v>25</v>
      </c>
      <c r="L63">
        <v>32</v>
      </c>
      <c r="M63">
        <v>931</v>
      </c>
      <c r="O63">
        <v>800</v>
      </c>
      <c r="P63">
        <v>910</v>
      </c>
      <c r="Q63">
        <v>980</v>
      </c>
      <c r="R63">
        <v>675</v>
      </c>
      <c r="S63">
        <v>700</v>
      </c>
      <c r="V63">
        <v>1330</v>
      </c>
      <c r="AA63">
        <v>1320</v>
      </c>
      <c r="AB63">
        <v>39.6</v>
      </c>
      <c r="AC63" s="81" t="s">
        <v>1142</v>
      </c>
      <c r="AD63" s="81"/>
      <c r="AE63" s="81" t="s">
        <v>396</v>
      </c>
      <c r="AF63" s="81" t="s">
        <v>397</v>
      </c>
    </row>
    <row r="64" spans="2:32">
      <c r="B64" s="81" t="s">
        <v>400</v>
      </c>
      <c r="C64" s="81" t="s">
        <v>1092</v>
      </c>
      <c r="D64" s="81" t="s">
        <v>90</v>
      </c>
      <c r="E64" s="81" t="s">
        <v>394</v>
      </c>
      <c r="F64" s="81" t="s">
        <v>790</v>
      </c>
      <c r="G64" s="81" t="s">
        <v>790</v>
      </c>
      <c r="H64">
        <v>1435</v>
      </c>
      <c r="I64">
        <v>168</v>
      </c>
      <c r="J64">
        <v>1320</v>
      </c>
      <c r="K64">
        <v>19</v>
      </c>
      <c r="L64">
        <v>25.5</v>
      </c>
      <c r="M64">
        <v>900</v>
      </c>
      <c r="O64">
        <v>750</v>
      </c>
      <c r="P64">
        <v>960</v>
      </c>
      <c r="Q64">
        <v>980</v>
      </c>
      <c r="R64">
        <v>700</v>
      </c>
      <c r="S64">
        <v>700</v>
      </c>
      <c r="V64">
        <v>1260</v>
      </c>
      <c r="AA64">
        <v>1320</v>
      </c>
      <c r="AB64">
        <v>39.6</v>
      </c>
      <c r="AC64" s="81" t="s">
        <v>1143</v>
      </c>
      <c r="AD64" s="81"/>
      <c r="AE64" s="81" t="s">
        <v>403</v>
      </c>
      <c r="AF64" s="81" t="s">
        <v>397</v>
      </c>
    </row>
    <row r="65" spans="2:32">
      <c r="B65" s="81" t="s">
        <v>406</v>
      </c>
      <c r="C65" s="81" t="s">
        <v>1058</v>
      </c>
      <c r="D65" s="81" t="s">
        <v>90</v>
      </c>
      <c r="E65" s="81" t="s">
        <v>408</v>
      </c>
      <c r="F65" s="81" t="s">
        <v>409</v>
      </c>
      <c r="G65" s="81" t="s">
        <v>409</v>
      </c>
      <c r="H65">
        <v>1440</v>
      </c>
      <c r="I65">
        <v>157</v>
      </c>
      <c r="J65">
        <v>1300</v>
      </c>
      <c r="K65">
        <v>16</v>
      </c>
      <c r="L65">
        <v>21</v>
      </c>
      <c r="M65">
        <v>810</v>
      </c>
      <c r="O65">
        <v>780</v>
      </c>
      <c r="P65">
        <v>980</v>
      </c>
      <c r="Q65">
        <v>980</v>
      </c>
      <c r="R65">
        <v>700</v>
      </c>
      <c r="S65">
        <v>700</v>
      </c>
      <c r="V65">
        <v>1210</v>
      </c>
      <c r="AA65">
        <v>1300</v>
      </c>
      <c r="AB65">
        <v>40</v>
      </c>
      <c r="AC65" s="81" t="s">
        <v>1114</v>
      </c>
      <c r="AD65" s="81"/>
      <c r="AE65" s="81" t="s">
        <v>410</v>
      </c>
      <c r="AF65" s="81" t="s">
        <v>411</v>
      </c>
    </row>
    <row r="66" spans="2:32">
      <c r="B66" s="81" t="s">
        <v>412</v>
      </c>
      <c r="C66" s="81" t="s">
        <v>1020</v>
      </c>
      <c r="D66" s="81" t="s">
        <v>90</v>
      </c>
      <c r="E66" s="81" t="s">
        <v>414</v>
      </c>
      <c r="F66" s="81" t="s">
        <v>790</v>
      </c>
      <c r="G66" s="81" t="s">
        <v>790</v>
      </c>
      <c r="H66">
        <v>1435</v>
      </c>
      <c r="I66">
        <v>154</v>
      </c>
      <c r="J66">
        <v>1020</v>
      </c>
      <c r="K66">
        <v>19.8</v>
      </c>
      <c r="L66">
        <v>30</v>
      </c>
      <c r="M66">
        <v>990</v>
      </c>
      <c r="O66">
        <v>840</v>
      </c>
      <c r="P66">
        <v>950</v>
      </c>
      <c r="Q66">
        <v>980</v>
      </c>
      <c r="R66">
        <v>680</v>
      </c>
      <c r="S66">
        <v>700</v>
      </c>
      <c r="V66">
        <v>1035</v>
      </c>
      <c r="AA66">
        <v>1020</v>
      </c>
      <c r="AB66">
        <v>29.599999999999998</v>
      </c>
      <c r="AC66" s="81" t="s">
        <v>1144</v>
      </c>
      <c r="AD66" s="81"/>
      <c r="AE66" s="81" t="s">
        <v>416</v>
      </c>
      <c r="AF66" s="81" t="s">
        <v>417</v>
      </c>
    </row>
    <row r="67" spans="2:32">
      <c r="B67" s="81" t="s">
        <v>418</v>
      </c>
      <c r="C67" s="81" t="s">
        <v>1021</v>
      </c>
      <c r="D67" s="81" t="s">
        <v>90</v>
      </c>
      <c r="E67" s="81" t="s">
        <v>414</v>
      </c>
      <c r="F67" s="81" t="s">
        <v>790</v>
      </c>
      <c r="G67" s="81" t="s">
        <v>790</v>
      </c>
      <c r="H67">
        <v>1435</v>
      </c>
      <c r="I67">
        <v>154</v>
      </c>
      <c r="J67">
        <v>1050</v>
      </c>
      <c r="K67">
        <v>15.4</v>
      </c>
      <c r="L67">
        <v>23.4</v>
      </c>
      <c r="M67">
        <v>930</v>
      </c>
      <c r="O67">
        <v>760</v>
      </c>
      <c r="P67">
        <v>940</v>
      </c>
      <c r="Q67">
        <v>980</v>
      </c>
      <c r="R67">
        <v>700</v>
      </c>
      <c r="S67">
        <v>700</v>
      </c>
      <c r="V67">
        <v>1030</v>
      </c>
      <c r="AA67">
        <v>1050</v>
      </c>
      <c r="AB67">
        <v>29.5</v>
      </c>
      <c r="AC67" s="81" t="s">
        <v>1145</v>
      </c>
      <c r="AD67" s="81"/>
      <c r="AE67" s="81" t="s">
        <v>420</v>
      </c>
      <c r="AF67" s="81" t="s">
        <v>179</v>
      </c>
    </row>
    <row r="68" spans="2:32">
      <c r="B68" s="81" t="s">
        <v>421</v>
      </c>
      <c r="C68" s="81" t="s">
        <v>1059</v>
      </c>
      <c r="D68" s="81" t="s">
        <v>90</v>
      </c>
      <c r="E68" s="81" t="s">
        <v>423</v>
      </c>
      <c r="F68" s="81" t="s">
        <v>263</v>
      </c>
      <c r="G68" s="81" t="s">
        <v>263</v>
      </c>
      <c r="H68">
        <v>1440</v>
      </c>
      <c r="I68">
        <v>162</v>
      </c>
      <c r="J68">
        <v>1370</v>
      </c>
      <c r="K68">
        <v>18.100000000000001</v>
      </c>
      <c r="L68">
        <v>26.1</v>
      </c>
      <c r="M68">
        <v>720</v>
      </c>
      <c r="O68">
        <v>820</v>
      </c>
      <c r="P68">
        <v>985</v>
      </c>
      <c r="Q68">
        <v>980</v>
      </c>
      <c r="R68">
        <v>950</v>
      </c>
      <c r="S68">
        <v>700</v>
      </c>
      <c r="V68">
        <v>1260</v>
      </c>
      <c r="AA68">
        <v>1370</v>
      </c>
      <c r="AB68">
        <v>40.1</v>
      </c>
      <c r="AC68" s="81" t="s">
        <v>1146</v>
      </c>
      <c r="AD68" s="81"/>
      <c r="AE68" s="81" t="s">
        <v>425</v>
      </c>
      <c r="AF68" s="81" t="s">
        <v>426</v>
      </c>
    </row>
    <row r="69" spans="2:32">
      <c r="B69" s="81" t="s">
        <v>427</v>
      </c>
      <c r="C69" s="81" t="s">
        <v>1022</v>
      </c>
      <c r="D69" s="81" t="s">
        <v>90</v>
      </c>
      <c r="E69" s="81" t="s">
        <v>429</v>
      </c>
      <c r="F69" s="81" t="s">
        <v>790</v>
      </c>
      <c r="G69" s="81" t="s">
        <v>790</v>
      </c>
      <c r="H69">
        <v>1440</v>
      </c>
      <c r="I69">
        <v>178</v>
      </c>
      <c r="J69">
        <v>1160</v>
      </c>
      <c r="K69">
        <v>24.2</v>
      </c>
      <c r="L69">
        <v>32</v>
      </c>
      <c r="M69">
        <v>995</v>
      </c>
      <c r="O69">
        <v>840</v>
      </c>
      <c r="P69">
        <v>965</v>
      </c>
      <c r="Q69">
        <v>980</v>
      </c>
      <c r="R69">
        <v>680</v>
      </c>
      <c r="S69">
        <v>700</v>
      </c>
      <c r="V69">
        <v>1190</v>
      </c>
      <c r="AA69">
        <v>1160</v>
      </c>
      <c r="AB69">
        <v>34.799999999999997</v>
      </c>
      <c r="AC69" s="81" t="s">
        <v>1147</v>
      </c>
      <c r="AD69" s="81"/>
      <c r="AE69" s="81" t="s">
        <v>431</v>
      </c>
      <c r="AF69" s="81" t="s">
        <v>426</v>
      </c>
    </row>
    <row r="70" spans="2:32">
      <c r="B70" s="81" t="s">
        <v>432</v>
      </c>
      <c r="C70" s="81" t="s">
        <v>1060</v>
      </c>
      <c r="D70" s="81" t="s">
        <v>90</v>
      </c>
      <c r="E70" s="81" t="s">
        <v>434</v>
      </c>
      <c r="F70" s="81" t="s">
        <v>263</v>
      </c>
      <c r="G70" s="81" t="s">
        <v>263</v>
      </c>
      <c r="H70">
        <v>1445</v>
      </c>
      <c r="I70">
        <v>168</v>
      </c>
      <c r="J70">
        <v>1510</v>
      </c>
      <c r="K70">
        <v>18</v>
      </c>
      <c r="L70">
        <v>26.5</v>
      </c>
      <c r="M70">
        <v>550</v>
      </c>
      <c r="O70">
        <v>780</v>
      </c>
      <c r="P70">
        <v>960</v>
      </c>
      <c r="Q70">
        <v>980</v>
      </c>
      <c r="R70">
        <v>700</v>
      </c>
      <c r="S70">
        <v>700</v>
      </c>
      <c r="V70">
        <v>1540</v>
      </c>
      <c r="AA70">
        <v>1510</v>
      </c>
      <c r="AB70">
        <v>45.3</v>
      </c>
      <c r="AC70" s="81" t="s">
        <v>1148</v>
      </c>
      <c r="AD70" s="81"/>
      <c r="AE70" s="81" t="s">
        <v>436</v>
      </c>
      <c r="AF70" s="81" t="s">
        <v>437</v>
      </c>
    </row>
    <row r="71" spans="2:32">
      <c r="B71" s="81" t="s">
        <v>443</v>
      </c>
      <c r="C71" s="81" t="s">
        <v>1023</v>
      </c>
      <c r="D71" s="81" t="s">
        <v>90</v>
      </c>
      <c r="E71" s="81" t="s">
        <v>445</v>
      </c>
      <c r="F71" s="81" t="s">
        <v>790</v>
      </c>
      <c r="G71" s="81" t="s">
        <v>790</v>
      </c>
      <c r="H71">
        <v>1435</v>
      </c>
      <c r="I71">
        <v>195</v>
      </c>
      <c r="J71">
        <v>1585</v>
      </c>
      <c r="K71">
        <v>27</v>
      </c>
      <c r="L71">
        <v>37</v>
      </c>
      <c r="M71">
        <v>897</v>
      </c>
      <c r="O71">
        <v>765</v>
      </c>
      <c r="P71">
        <v>965</v>
      </c>
      <c r="Q71">
        <v>980</v>
      </c>
      <c r="R71">
        <v>680</v>
      </c>
      <c r="S71">
        <v>700</v>
      </c>
      <c r="V71">
        <v>1650</v>
      </c>
      <c r="AA71">
        <v>1585</v>
      </c>
      <c r="AB71">
        <v>49.55</v>
      </c>
      <c r="AC71" s="81" t="s">
        <v>1149</v>
      </c>
      <c r="AD71" s="81"/>
      <c r="AE71" s="81" t="s">
        <v>447</v>
      </c>
      <c r="AF71" s="81" t="s">
        <v>448</v>
      </c>
    </row>
    <row r="72" spans="2:32">
      <c r="B72" s="81" t="s">
        <v>451</v>
      </c>
      <c r="C72" s="81" t="s">
        <v>1093</v>
      </c>
      <c r="D72" s="81" t="s">
        <v>90</v>
      </c>
      <c r="E72" s="81" t="s">
        <v>445</v>
      </c>
      <c r="F72" s="81" t="s">
        <v>790</v>
      </c>
      <c r="G72" s="81" t="s">
        <v>790</v>
      </c>
      <c r="H72">
        <v>1435</v>
      </c>
      <c r="I72">
        <v>195</v>
      </c>
      <c r="J72">
        <v>1585</v>
      </c>
      <c r="K72">
        <v>23.5</v>
      </c>
      <c r="L72">
        <v>32.1</v>
      </c>
      <c r="M72">
        <v>930</v>
      </c>
      <c r="O72">
        <v>760</v>
      </c>
      <c r="P72">
        <v>965</v>
      </c>
      <c r="Q72">
        <v>980</v>
      </c>
      <c r="R72">
        <v>700</v>
      </c>
      <c r="S72">
        <v>700</v>
      </c>
      <c r="V72">
        <v>1495</v>
      </c>
      <c r="AA72">
        <v>1585</v>
      </c>
      <c r="AB72">
        <v>49.55</v>
      </c>
      <c r="AC72" s="81" t="s">
        <v>1150</v>
      </c>
      <c r="AD72" s="81"/>
      <c r="AE72" s="81" t="s">
        <v>453</v>
      </c>
      <c r="AF72" s="81" t="s">
        <v>448</v>
      </c>
    </row>
    <row r="73" spans="2:32">
      <c r="B73" s="81" t="s">
        <v>454</v>
      </c>
      <c r="C73" s="81" t="s">
        <v>1024</v>
      </c>
      <c r="D73" s="81" t="s">
        <v>90</v>
      </c>
      <c r="E73" s="81" t="s">
        <v>445</v>
      </c>
      <c r="F73" s="81" t="s">
        <v>790</v>
      </c>
      <c r="G73" s="81" t="s">
        <v>790</v>
      </c>
      <c r="H73">
        <v>1435</v>
      </c>
      <c r="I73">
        <v>195</v>
      </c>
      <c r="J73">
        <v>1585</v>
      </c>
      <c r="K73">
        <v>23.5</v>
      </c>
      <c r="L73">
        <v>32.1</v>
      </c>
      <c r="M73">
        <v>930</v>
      </c>
      <c r="O73">
        <v>760</v>
      </c>
      <c r="P73">
        <v>965</v>
      </c>
      <c r="Q73">
        <v>980</v>
      </c>
      <c r="R73">
        <v>700</v>
      </c>
      <c r="S73">
        <v>700</v>
      </c>
      <c r="V73">
        <v>1495</v>
      </c>
      <c r="AA73">
        <v>1585</v>
      </c>
      <c r="AB73">
        <v>49.55</v>
      </c>
      <c r="AC73" s="81" t="s">
        <v>1151</v>
      </c>
      <c r="AD73" s="81"/>
      <c r="AE73" s="81" t="s">
        <v>457</v>
      </c>
      <c r="AF73" s="81" t="s">
        <v>458</v>
      </c>
    </row>
    <row r="74" spans="2:32">
      <c r="B74" s="81" t="s">
        <v>459</v>
      </c>
      <c r="C74" s="81" t="s">
        <v>1025</v>
      </c>
      <c r="D74" s="81" t="s">
        <v>90</v>
      </c>
      <c r="E74" s="81" t="s">
        <v>460</v>
      </c>
      <c r="F74" s="81" t="s">
        <v>790</v>
      </c>
      <c r="G74" s="81" t="s">
        <v>790</v>
      </c>
      <c r="H74">
        <v>1440</v>
      </c>
      <c r="I74">
        <v>178</v>
      </c>
      <c r="J74">
        <v>1575</v>
      </c>
      <c r="K74">
        <v>30.6</v>
      </c>
      <c r="L74">
        <v>42</v>
      </c>
      <c r="M74">
        <v>970</v>
      </c>
      <c r="O74">
        <v>830</v>
      </c>
      <c r="P74">
        <v>970</v>
      </c>
      <c r="Q74">
        <v>980</v>
      </c>
      <c r="R74">
        <v>680</v>
      </c>
      <c r="S74">
        <v>700</v>
      </c>
      <c r="V74">
        <v>1590</v>
      </c>
      <c r="AA74">
        <v>1575</v>
      </c>
      <c r="AB74">
        <v>50.25</v>
      </c>
      <c r="AC74" s="81" t="s">
        <v>1152</v>
      </c>
      <c r="AD74" s="81"/>
      <c r="AE74" s="81" t="s">
        <v>462</v>
      </c>
      <c r="AF74" s="81" t="s">
        <v>463</v>
      </c>
    </row>
    <row r="75" spans="2:32">
      <c r="B75" s="81" t="s">
        <v>465</v>
      </c>
      <c r="C75" s="81" t="s">
        <v>1094</v>
      </c>
      <c r="D75" s="81" t="s">
        <v>90</v>
      </c>
      <c r="E75" s="81" t="s">
        <v>467</v>
      </c>
      <c r="F75" s="81" t="s">
        <v>468</v>
      </c>
      <c r="G75" s="81" t="s">
        <v>468</v>
      </c>
      <c r="H75">
        <v>1445</v>
      </c>
      <c r="I75">
        <v>178</v>
      </c>
      <c r="J75">
        <v>1645</v>
      </c>
      <c r="K75">
        <v>17.8</v>
      </c>
      <c r="L75">
        <v>24.2</v>
      </c>
      <c r="M75">
        <v>940</v>
      </c>
      <c r="O75">
        <v>600</v>
      </c>
      <c r="P75">
        <v>970</v>
      </c>
      <c r="Q75">
        <v>980</v>
      </c>
      <c r="R75">
        <v>700</v>
      </c>
      <c r="S75">
        <v>700</v>
      </c>
      <c r="AA75">
        <v>1645</v>
      </c>
      <c r="AB75">
        <v>50.35</v>
      </c>
      <c r="AC75" s="81" t="s">
        <v>1153</v>
      </c>
      <c r="AD75" s="81"/>
      <c r="AE75" s="81" t="s">
        <v>470</v>
      </c>
      <c r="AF75" s="81" t="s">
        <v>471</v>
      </c>
    </row>
    <row r="76" spans="2:32">
      <c r="B76" s="81" t="s">
        <v>472</v>
      </c>
      <c r="C76" s="81" t="s">
        <v>1026</v>
      </c>
      <c r="D76" s="81" t="s">
        <v>90</v>
      </c>
      <c r="E76" s="81" t="s">
        <v>474</v>
      </c>
      <c r="F76" s="81" t="s">
        <v>790</v>
      </c>
      <c r="G76" s="81" t="s">
        <v>790</v>
      </c>
      <c r="H76">
        <v>1445</v>
      </c>
      <c r="I76">
        <v>182</v>
      </c>
      <c r="J76">
        <v>1795</v>
      </c>
      <c r="K76">
        <v>25</v>
      </c>
      <c r="L76">
        <v>34.700000000000003</v>
      </c>
      <c r="M76">
        <v>840</v>
      </c>
      <c r="O76">
        <v>823</v>
      </c>
      <c r="P76">
        <v>980</v>
      </c>
      <c r="Q76">
        <v>980</v>
      </c>
      <c r="R76">
        <v>700</v>
      </c>
      <c r="S76">
        <v>700</v>
      </c>
      <c r="V76">
        <v>1725</v>
      </c>
      <c r="AA76">
        <v>1795</v>
      </c>
      <c r="AB76">
        <v>54.85</v>
      </c>
      <c r="AC76" s="81" t="s">
        <v>1154</v>
      </c>
      <c r="AD76" s="81"/>
      <c r="AE76" s="81" t="s">
        <v>476</v>
      </c>
      <c r="AF76" s="81" t="s">
        <v>477</v>
      </c>
    </row>
    <row r="77" spans="2:32">
      <c r="B77" s="81" t="s">
        <v>480</v>
      </c>
      <c r="C77" s="81" t="s">
        <v>1095</v>
      </c>
      <c r="D77" s="81" t="s">
        <v>90</v>
      </c>
      <c r="E77" s="81" t="s">
        <v>474</v>
      </c>
      <c r="F77" s="81" t="s">
        <v>790</v>
      </c>
      <c r="G77" s="81" t="s">
        <v>790</v>
      </c>
      <c r="H77">
        <v>1445</v>
      </c>
      <c r="I77">
        <v>182</v>
      </c>
      <c r="J77">
        <v>1795</v>
      </c>
      <c r="K77">
        <v>25</v>
      </c>
      <c r="L77">
        <v>34.700000000000003</v>
      </c>
      <c r="M77">
        <v>840</v>
      </c>
      <c r="O77">
        <v>823</v>
      </c>
      <c r="P77">
        <v>980</v>
      </c>
      <c r="Q77">
        <v>980</v>
      </c>
      <c r="R77">
        <v>700</v>
      </c>
      <c r="S77">
        <v>700</v>
      </c>
      <c r="V77">
        <v>1725</v>
      </c>
      <c r="AA77">
        <v>1795</v>
      </c>
      <c r="AB77">
        <v>54.85</v>
      </c>
      <c r="AC77" s="81" t="s">
        <v>1155</v>
      </c>
      <c r="AD77" s="81"/>
      <c r="AE77" s="81" t="s">
        <v>483</v>
      </c>
      <c r="AF77" s="81" t="s">
        <v>484</v>
      </c>
    </row>
    <row r="78" spans="2:32">
      <c r="B78" s="81" t="s">
        <v>485</v>
      </c>
      <c r="C78" s="81" t="s">
        <v>1061</v>
      </c>
      <c r="D78" s="81" t="s">
        <v>90</v>
      </c>
      <c r="E78" s="81" t="s">
        <v>486</v>
      </c>
      <c r="F78" s="81" t="s">
        <v>263</v>
      </c>
      <c r="G78" s="81" t="s">
        <v>263</v>
      </c>
      <c r="H78">
        <v>1450</v>
      </c>
      <c r="I78">
        <v>190</v>
      </c>
      <c r="J78">
        <v>1670</v>
      </c>
      <c r="K78">
        <v>19</v>
      </c>
      <c r="L78">
        <v>20.3</v>
      </c>
      <c r="M78">
        <v>600</v>
      </c>
      <c r="O78">
        <v>800</v>
      </c>
      <c r="P78">
        <v>960</v>
      </c>
      <c r="Q78">
        <v>980</v>
      </c>
      <c r="R78">
        <v>700</v>
      </c>
      <c r="S78">
        <v>700</v>
      </c>
      <c r="V78">
        <v>1615</v>
      </c>
      <c r="AA78">
        <v>1670</v>
      </c>
      <c r="AB78">
        <v>50.1</v>
      </c>
      <c r="AC78" s="81" t="s">
        <v>1156</v>
      </c>
      <c r="AD78" s="81"/>
      <c r="AE78" s="81" t="s">
        <v>488</v>
      </c>
      <c r="AF78" s="81" t="s">
        <v>325</v>
      </c>
    </row>
    <row r="79" spans="2:32">
      <c r="B79" s="81" t="s">
        <v>489</v>
      </c>
      <c r="C79" s="81" t="s">
        <v>1062</v>
      </c>
      <c r="D79" s="81" t="s">
        <v>90</v>
      </c>
      <c r="E79" s="81" t="s">
        <v>460</v>
      </c>
      <c r="F79" s="81" t="s">
        <v>790</v>
      </c>
      <c r="G79" s="81" t="s">
        <v>790</v>
      </c>
      <c r="H79">
        <v>1445</v>
      </c>
      <c r="I79">
        <v>178</v>
      </c>
      <c r="J79">
        <v>1645</v>
      </c>
      <c r="K79">
        <v>23</v>
      </c>
      <c r="L79">
        <v>26.7</v>
      </c>
      <c r="M79">
        <v>940</v>
      </c>
      <c r="O79">
        <v>760</v>
      </c>
      <c r="P79">
        <v>970</v>
      </c>
      <c r="Q79">
        <v>980</v>
      </c>
      <c r="R79">
        <v>950</v>
      </c>
      <c r="S79">
        <v>700</v>
      </c>
      <c r="V79">
        <v>1640</v>
      </c>
      <c r="AA79">
        <v>1645</v>
      </c>
      <c r="AB79">
        <v>50.35</v>
      </c>
      <c r="AC79" s="81" t="s">
        <v>1157</v>
      </c>
      <c r="AD79" s="81"/>
      <c r="AE79" s="81" t="s">
        <v>491</v>
      </c>
      <c r="AF79" s="81" t="s">
        <v>179</v>
      </c>
    </row>
    <row r="80" spans="2:32">
      <c r="B80" s="81" t="s">
        <v>492</v>
      </c>
      <c r="C80" s="81" t="s">
        <v>1063</v>
      </c>
      <c r="D80" s="81" t="s">
        <v>90</v>
      </c>
      <c r="E80" s="81" t="s">
        <v>494</v>
      </c>
      <c r="F80" s="81" t="s">
        <v>263</v>
      </c>
      <c r="G80" s="81" t="s">
        <v>263</v>
      </c>
      <c r="H80">
        <v>1440</v>
      </c>
      <c r="I80">
        <v>192</v>
      </c>
      <c r="J80">
        <v>2045</v>
      </c>
      <c r="K80">
        <v>23.5</v>
      </c>
      <c r="L80">
        <v>31.7</v>
      </c>
      <c r="M80">
        <v>800</v>
      </c>
      <c r="O80">
        <v>760</v>
      </c>
      <c r="P80">
        <v>960</v>
      </c>
      <c r="Q80">
        <v>980</v>
      </c>
      <c r="R80">
        <v>700</v>
      </c>
      <c r="S80">
        <v>700</v>
      </c>
      <c r="V80">
        <v>2000</v>
      </c>
      <c r="AA80">
        <v>2045</v>
      </c>
      <c r="AB80">
        <v>60.349999999999994</v>
      </c>
      <c r="AC80" s="81" t="s">
        <v>1158</v>
      </c>
      <c r="AD80" s="81"/>
      <c r="AE80" s="81" t="s">
        <v>496</v>
      </c>
      <c r="AF80" s="81" t="s">
        <v>497</v>
      </c>
    </row>
    <row r="81" spans="2:32">
      <c r="B81" s="81" t="s">
        <v>498</v>
      </c>
      <c r="C81" s="81" t="s">
        <v>1064</v>
      </c>
      <c r="D81" s="81" t="s">
        <v>90</v>
      </c>
      <c r="E81" s="81" t="s">
        <v>500</v>
      </c>
      <c r="F81" s="81" t="s">
        <v>409</v>
      </c>
      <c r="G81" s="81" t="s">
        <v>409</v>
      </c>
      <c r="H81">
        <v>1460</v>
      </c>
      <c r="I81">
        <v>240</v>
      </c>
      <c r="J81">
        <v>2665</v>
      </c>
      <c r="K81">
        <v>36</v>
      </c>
      <c r="L81">
        <v>39.6</v>
      </c>
      <c r="M81">
        <v>680</v>
      </c>
      <c r="O81">
        <v>860</v>
      </c>
      <c r="P81">
        <v>980</v>
      </c>
      <c r="Q81">
        <v>700</v>
      </c>
      <c r="R81">
        <v>700</v>
      </c>
      <c r="S81">
        <v>700</v>
      </c>
      <c r="V81">
        <v>2620</v>
      </c>
      <c r="AA81">
        <v>2665</v>
      </c>
      <c r="AB81">
        <v>79.95</v>
      </c>
      <c r="AC81" s="81" t="s">
        <v>1117</v>
      </c>
      <c r="AD81" s="81"/>
      <c r="AE81" s="81" t="s">
        <v>501</v>
      </c>
      <c r="AF81" s="81" t="s">
        <v>502</v>
      </c>
    </row>
    <row r="82" spans="2:32">
      <c r="B82" s="81" t="s">
        <v>503</v>
      </c>
      <c r="C82" s="81" t="s">
        <v>986</v>
      </c>
      <c r="D82" s="81" t="s">
        <v>193</v>
      </c>
      <c r="E82" s="81" t="s">
        <v>506</v>
      </c>
      <c r="F82" s="81" t="s">
        <v>507</v>
      </c>
      <c r="G82" s="81" t="s">
        <v>507</v>
      </c>
      <c r="H82">
        <v>380</v>
      </c>
      <c r="I82">
        <v>130</v>
      </c>
      <c r="AA82">
        <v>200</v>
      </c>
      <c r="AC82" s="81"/>
      <c r="AD82" s="81"/>
      <c r="AE82" s="81" t="s">
        <v>508</v>
      </c>
      <c r="AF82" s="81"/>
    </row>
    <row r="83" spans="2:32">
      <c r="B83" s="81" t="s">
        <v>509</v>
      </c>
      <c r="C83" s="81" t="s">
        <v>987</v>
      </c>
      <c r="D83" s="81" t="s">
        <v>90</v>
      </c>
      <c r="E83" s="81" t="s">
        <v>512</v>
      </c>
      <c r="F83" s="81" t="s">
        <v>790</v>
      </c>
      <c r="G83" s="81" t="s">
        <v>790</v>
      </c>
      <c r="H83">
        <v>380</v>
      </c>
      <c r="I83">
        <v>176</v>
      </c>
      <c r="J83">
        <v>470</v>
      </c>
      <c r="K83">
        <v>8.5</v>
      </c>
      <c r="L83">
        <v>11.9</v>
      </c>
      <c r="M83">
        <v>530</v>
      </c>
      <c r="O83">
        <v>500</v>
      </c>
      <c r="P83">
        <v>960</v>
      </c>
      <c r="Q83">
        <v>980</v>
      </c>
      <c r="R83">
        <v>700</v>
      </c>
      <c r="S83">
        <v>700</v>
      </c>
      <c r="V83">
        <v>440</v>
      </c>
      <c r="AA83">
        <v>470</v>
      </c>
      <c r="AB83">
        <v>15.1</v>
      </c>
      <c r="AC83" s="81" t="s">
        <v>1139</v>
      </c>
      <c r="AD83" s="81"/>
      <c r="AE83" s="81" t="s">
        <v>513</v>
      </c>
      <c r="AF83" s="81"/>
    </row>
    <row r="84" spans="2:32">
      <c r="B84" s="81" t="s">
        <v>514</v>
      </c>
      <c r="C84" s="81" t="s">
        <v>988</v>
      </c>
      <c r="D84" s="81" t="s">
        <v>90</v>
      </c>
      <c r="E84" s="81" t="s">
        <v>516</v>
      </c>
      <c r="F84" s="81" t="s">
        <v>790</v>
      </c>
      <c r="G84" s="81" t="s">
        <v>790</v>
      </c>
      <c r="H84">
        <v>380</v>
      </c>
      <c r="I84">
        <v>175</v>
      </c>
      <c r="J84">
        <v>320</v>
      </c>
      <c r="K84">
        <v>6.8</v>
      </c>
      <c r="L84">
        <v>9.6999999999999993</v>
      </c>
      <c r="M84">
        <v>336</v>
      </c>
      <c r="O84">
        <v>820</v>
      </c>
      <c r="P84">
        <v>980</v>
      </c>
      <c r="Q84">
        <v>980</v>
      </c>
      <c r="R84">
        <v>700</v>
      </c>
      <c r="S84">
        <v>700</v>
      </c>
      <c r="V84">
        <v>295</v>
      </c>
      <c r="AA84">
        <v>320</v>
      </c>
      <c r="AB84">
        <v>9.6</v>
      </c>
      <c r="AC84" s="81"/>
      <c r="AD84" s="81"/>
      <c r="AE84" s="81" t="s">
        <v>517</v>
      </c>
      <c r="AF84" s="81"/>
    </row>
    <row r="85" spans="2:32">
      <c r="B85" s="81" t="s">
        <v>518</v>
      </c>
      <c r="C85" s="81" t="s">
        <v>989</v>
      </c>
      <c r="D85" s="81" t="s">
        <v>90</v>
      </c>
      <c r="E85" s="81" t="s">
        <v>516</v>
      </c>
      <c r="F85" s="81" t="s">
        <v>790</v>
      </c>
      <c r="G85" s="81" t="s">
        <v>790</v>
      </c>
      <c r="H85">
        <v>380</v>
      </c>
      <c r="I85">
        <v>175</v>
      </c>
      <c r="J85">
        <v>320</v>
      </c>
      <c r="K85">
        <v>8.5</v>
      </c>
      <c r="L85">
        <v>11.9</v>
      </c>
      <c r="M85">
        <v>470</v>
      </c>
      <c r="O85">
        <v>790</v>
      </c>
      <c r="P85">
        <v>970</v>
      </c>
      <c r="Q85">
        <v>980</v>
      </c>
      <c r="R85">
        <v>700</v>
      </c>
      <c r="S85">
        <v>700</v>
      </c>
      <c r="V85">
        <v>295</v>
      </c>
      <c r="AA85">
        <v>320</v>
      </c>
      <c r="AB85">
        <v>9.6</v>
      </c>
      <c r="AC85" s="81" t="s">
        <v>1159</v>
      </c>
      <c r="AD85" s="81"/>
      <c r="AE85" s="81" t="s">
        <v>521</v>
      </c>
      <c r="AF85" s="81"/>
    </row>
    <row r="86" spans="2:32">
      <c r="B86" s="81" t="s">
        <v>522</v>
      </c>
      <c r="C86" s="81" t="s">
        <v>990</v>
      </c>
      <c r="D86" s="81" t="s">
        <v>193</v>
      </c>
      <c r="E86" s="81" t="s">
        <v>524</v>
      </c>
      <c r="F86" s="81" t="s">
        <v>507</v>
      </c>
      <c r="G86" s="81" t="s">
        <v>507</v>
      </c>
      <c r="H86">
        <v>380</v>
      </c>
      <c r="I86">
        <v>140</v>
      </c>
      <c r="K86">
        <v>10.1</v>
      </c>
      <c r="L86">
        <v>13.8</v>
      </c>
      <c r="M86">
        <v>860</v>
      </c>
      <c r="O86">
        <v>510</v>
      </c>
      <c r="P86">
        <v>920</v>
      </c>
      <c r="Q86">
        <v>980</v>
      </c>
      <c r="R86">
        <v>700</v>
      </c>
      <c r="S86">
        <v>700</v>
      </c>
      <c r="AA86">
        <v>360</v>
      </c>
      <c r="AC86" s="81"/>
      <c r="AD86" s="81"/>
      <c r="AE86" s="81" t="s">
        <v>525</v>
      </c>
      <c r="AF86" s="81"/>
    </row>
    <row r="87" spans="2:32">
      <c r="B87" s="81" t="s">
        <v>526</v>
      </c>
      <c r="C87" s="81" t="s">
        <v>991</v>
      </c>
      <c r="D87" s="81" t="s">
        <v>193</v>
      </c>
      <c r="E87" s="81" t="s">
        <v>528</v>
      </c>
      <c r="F87" s="81" t="s">
        <v>507</v>
      </c>
      <c r="G87" s="81" t="s">
        <v>507</v>
      </c>
      <c r="H87">
        <v>380</v>
      </c>
      <c r="I87">
        <v>140</v>
      </c>
      <c r="K87">
        <v>10.1</v>
      </c>
      <c r="L87">
        <v>13.8</v>
      </c>
      <c r="M87">
        <v>860</v>
      </c>
      <c r="O87">
        <v>510</v>
      </c>
      <c r="P87">
        <v>920</v>
      </c>
      <c r="Q87">
        <v>980</v>
      </c>
      <c r="R87">
        <v>700</v>
      </c>
      <c r="S87">
        <v>700</v>
      </c>
      <c r="AA87">
        <v>360</v>
      </c>
      <c r="AC87" s="81"/>
      <c r="AD87" s="81"/>
      <c r="AE87" s="81" t="s">
        <v>529</v>
      </c>
      <c r="AF87" s="81"/>
    </row>
    <row r="88" spans="2:32">
      <c r="B88" s="81" t="s">
        <v>530</v>
      </c>
      <c r="C88" s="81" t="s">
        <v>992</v>
      </c>
      <c r="D88" s="81" t="s">
        <v>90</v>
      </c>
      <c r="E88" s="81" t="s">
        <v>533</v>
      </c>
      <c r="F88" s="81" t="s">
        <v>790</v>
      </c>
      <c r="G88" s="81" t="s">
        <v>790</v>
      </c>
      <c r="H88">
        <v>380</v>
      </c>
      <c r="I88">
        <v>208</v>
      </c>
      <c r="J88">
        <v>425</v>
      </c>
      <c r="K88">
        <v>9.5</v>
      </c>
      <c r="L88">
        <v>13.3</v>
      </c>
      <c r="M88">
        <v>410</v>
      </c>
      <c r="O88">
        <v>760</v>
      </c>
      <c r="P88">
        <v>970</v>
      </c>
      <c r="Q88">
        <v>970</v>
      </c>
      <c r="R88">
        <v>700</v>
      </c>
      <c r="S88">
        <v>700</v>
      </c>
      <c r="V88">
        <v>410</v>
      </c>
      <c r="AA88">
        <v>425</v>
      </c>
      <c r="AB88">
        <v>14.75</v>
      </c>
      <c r="AC88" s="81" t="s">
        <v>1105</v>
      </c>
      <c r="AD88" s="81"/>
      <c r="AE88" s="81" t="s">
        <v>534</v>
      </c>
      <c r="AF88" s="81"/>
    </row>
    <row r="89" spans="2:32">
      <c r="B89" s="81" t="s">
        <v>535</v>
      </c>
      <c r="C89" s="81" t="s">
        <v>993</v>
      </c>
      <c r="D89" s="81" t="s">
        <v>90</v>
      </c>
      <c r="E89" s="81" t="s">
        <v>533</v>
      </c>
      <c r="F89" s="81" t="s">
        <v>790</v>
      </c>
      <c r="G89" s="81" t="s">
        <v>790</v>
      </c>
      <c r="H89">
        <v>380</v>
      </c>
      <c r="I89">
        <v>208</v>
      </c>
      <c r="J89">
        <v>425</v>
      </c>
      <c r="K89">
        <v>9.5</v>
      </c>
      <c r="L89">
        <v>13.3</v>
      </c>
      <c r="M89">
        <v>410</v>
      </c>
      <c r="O89">
        <v>760</v>
      </c>
      <c r="P89">
        <v>970</v>
      </c>
      <c r="Q89">
        <v>970</v>
      </c>
      <c r="R89">
        <v>700</v>
      </c>
      <c r="S89">
        <v>700</v>
      </c>
      <c r="V89">
        <v>410</v>
      </c>
      <c r="AA89">
        <v>425</v>
      </c>
      <c r="AB89">
        <v>14.75</v>
      </c>
      <c r="AC89" s="81" t="s">
        <v>1160</v>
      </c>
      <c r="AD89" s="81"/>
      <c r="AE89" s="81" t="s">
        <v>538</v>
      </c>
      <c r="AF89" s="81"/>
    </row>
    <row r="90" spans="2:32">
      <c r="B90" s="81" t="s">
        <v>539</v>
      </c>
      <c r="C90" s="81" t="s">
        <v>994</v>
      </c>
      <c r="D90" s="81" t="s">
        <v>90</v>
      </c>
      <c r="E90" s="81" t="s">
        <v>541</v>
      </c>
      <c r="F90" s="81" t="s">
        <v>790</v>
      </c>
      <c r="G90" s="81" t="s">
        <v>790</v>
      </c>
      <c r="H90">
        <v>475</v>
      </c>
      <c r="I90">
        <v>225</v>
      </c>
      <c r="J90">
        <v>630</v>
      </c>
      <c r="K90">
        <v>14</v>
      </c>
      <c r="L90">
        <v>19.399999999999999</v>
      </c>
      <c r="M90">
        <v>550</v>
      </c>
      <c r="O90">
        <v>750</v>
      </c>
      <c r="P90">
        <v>970</v>
      </c>
      <c r="Q90">
        <v>990</v>
      </c>
      <c r="R90">
        <v>700</v>
      </c>
      <c r="S90">
        <v>700</v>
      </c>
      <c r="V90">
        <v>595</v>
      </c>
      <c r="AA90">
        <v>630</v>
      </c>
      <c r="AB90">
        <v>19.899999999999999</v>
      </c>
      <c r="AC90" s="81" t="s">
        <v>1114</v>
      </c>
      <c r="AD90" s="81"/>
      <c r="AE90" s="81" t="s">
        <v>542</v>
      </c>
      <c r="AF90" s="81"/>
    </row>
    <row r="91" spans="2:32">
      <c r="B91" s="81" t="s">
        <v>543</v>
      </c>
      <c r="C91" s="81" t="s">
        <v>995</v>
      </c>
      <c r="D91" s="81" t="s">
        <v>90</v>
      </c>
      <c r="E91" s="81" t="s">
        <v>545</v>
      </c>
      <c r="F91" s="81" t="s">
        <v>790</v>
      </c>
      <c r="G91" s="81" t="s">
        <v>790</v>
      </c>
      <c r="H91">
        <v>510</v>
      </c>
      <c r="I91">
        <v>260</v>
      </c>
      <c r="J91">
        <v>1230</v>
      </c>
      <c r="K91">
        <v>14</v>
      </c>
      <c r="L91">
        <v>19.399999999999999</v>
      </c>
      <c r="M91">
        <v>530</v>
      </c>
      <c r="O91">
        <v>470</v>
      </c>
      <c r="P91">
        <v>970</v>
      </c>
      <c r="Q91">
        <v>980</v>
      </c>
      <c r="R91">
        <v>700</v>
      </c>
      <c r="S91">
        <v>700</v>
      </c>
      <c r="V91">
        <v>1140</v>
      </c>
      <c r="AA91">
        <v>1230</v>
      </c>
      <c r="AB91">
        <v>34.9</v>
      </c>
      <c r="AC91" s="81" t="s">
        <v>1161</v>
      </c>
      <c r="AD91" s="81"/>
      <c r="AE91" s="81" t="s">
        <v>547</v>
      </c>
      <c r="AF91" s="81"/>
    </row>
    <row r="92" spans="2:32">
      <c r="B92" s="81" t="s">
        <v>548</v>
      </c>
      <c r="C92" s="81" t="s">
        <v>996</v>
      </c>
      <c r="D92" s="81" t="s">
        <v>90</v>
      </c>
      <c r="E92" s="81" t="s">
        <v>551</v>
      </c>
      <c r="F92" s="81" t="s">
        <v>790</v>
      </c>
      <c r="G92" s="81" t="s">
        <v>790</v>
      </c>
      <c r="H92">
        <v>510</v>
      </c>
      <c r="I92">
        <v>225</v>
      </c>
      <c r="J92">
        <v>1050</v>
      </c>
      <c r="K92">
        <v>17</v>
      </c>
      <c r="L92">
        <v>23.7</v>
      </c>
      <c r="M92">
        <v>460</v>
      </c>
      <c r="O92">
        <v>600</v>
      </c>
      <c r="P92">
        <v>970</v>
      </c>
      <c r="Q92">
        <v>980</v>
      </c>
      <c r="R92">
        <v>700</v>
      </c>
      <c r="S92">
        <v>700</v>
      </c>
      <c r="V92">
        <v>990</v>
      </c>
      <c r="AA92">
        <v>1050</v>
      </c>
      <c r="AB92">
        <v>29.5</v>
      </c>
      <c r="AC92" s="81"/>
      <c r="AD92" s="81"/>
      <c r="AE92" s="81" t="s">
        <v>552</v>
      </c>
      <c r="AF92" s="81"/>
    </row>
    <row r="93" spans="2:32">
      <c r="B93" s="81" t="s">
        <v>553</v>
      </c>
      <c r="C93" s="81" t="s">
        <v>997</v>
      </c>
      <c r="D93" s="81" t="s">
        <v>90</v>
      </c>
      <c r="E93" s="81" t="s">
        <v>555</v>
      </c>
      <c r="F93" s="81" t="s">
        <v>790</v>
      </c>
      <c r="G93" s="81" t="s">
        <v>790</v>
      </c>
      <c r="H93">
        <v>500</v>
      </c>
      <c r="I93">
        <v>220</v>
      </c>
      <c r="J93">
        <v>740</v>
      </c>
      <c r="K93">
        <v>10.5</v>
      </c>
      <c r="L93">
        <v>14.2</v>
      </c>
      <c r="M93">
        <v>330</v>
      </c>
      <c r="O93">
        <v>800</v>
      </c>
      <c r="P93">
        <v>970</v>
      </c>
      <c r="Q93">
        <v>980</v>
      </c>
      <c r="R93">
        <v>700</v>
      </c>
      <c r="S93">
        <v>700</v>
      </c>
      <c r="V93">
        <v>700</v>
      </c>
      <c r="AA93">
        <v>740</v>
      </c>
      <c r="AB93">
        <v>20.2</v>
      </c>
      <c r="AC93" s="81" t="s">
        <v>1104</v>
      </c>
      <c r="AD93" s="81"/>
      <c r="AE93" s="81" t="s">
        <v>556</v>
      </c>
      <c r="AF93" s="81"/>
    </row>
    <row r="94" spans="2:32">
      <c r="B94" s="81" t="s">
        <v>557</v>
      </c>
      <c r="C94" s="81" t="s">
        <v>998</v>
      </c>
      <c r="D94" s="81" t="s">
        <v>90</v>
      </c>
      <c r="E94" s="81" t="s">
        <v>560</v>
      </c>
      <c r="F94" s="81" t="s">
        <v>790</v>
      </c>
      <c r="G94" s="81" t="s">
        <v>790</v>
      </c>
      <c r="H94">
        <v>505</v>
      </c>
      <c r="I94">
        <v>260</v>
      </c>
      <c r="J94">
        <v>1215</v>
      </c>
      <c r="K94">
        <v>14</v>
      </c>
      <c r="L94">
        <v>18.899999999999999</v>
      </c>
      <c r="M94">
        <v>380</v>
      </c>
      <c r="O94">
        <v>560</v>
      </c>
      <c r="P94">
        <v>980</v>
      </c>
      <c r="Q94">
        <v>980</v>
      </c>
      <c r="R94">
        <v>700</v>
      </c>
      <c r="S94">
        <v>700</v>
      </c>
      <c r="V94">
        <v>1195</v>
      </c>
      <c r="AA94">
        <v>1215</v>
      </c>
      <c r="AB94">
        <v>35.449999999999996</v>
      </c>
      <c r="AC94" s="81" t="s">
        <v>1114</v>
      </c>
      <c r="AD94" s="81"/>
      <c r="AE94" s="81" t="s">
        <v>561</v>
      </c>
      <c r="AF94" s="81"/>
    </row>
    <row r="95" spans="2:32">
      <c r="B95" s="81" t="s">
        <v>562</v>
      </c>
      <c r="C95" s="81" t="s">
        <v>999</v>
      </c>
      <c r="D95" s="81" t="s">
        <v>90</v>
      </c>
      <c r="E95" s="81" t="s">
        <v>565</v>
      </c>
      <c r="F95" s="81" t="s">
        <v>790</v>
      </c>
      <c r="G95" s="81" t="s">
        <v>790</v>
      </c>
      <c r="H95">
        <v>565</v>
      </c>
      <c r="I95">
        <v>250</v>
      </c>
      <c r="J95">
        <v>1080</v>
      </c>
      <c r="K95">
        <v>14</v>
      </c>
      <c r="L95">
        <v>18.899999999999999</v>
      </c>
      <c r="M95">
        <v>410</v>
      </c>
      <c r="O95">
        <v>760</v>
      </c>
      <c r="P95">
        <v>970</v>
      </c>
      <c r="Q95">
        <v>980</v>
      </c>
      <c r="R95">
        <v>700</v>
      </c>
      <c r="S95">
        <v>700</v>
      </c>
      <c r="V95">
        <v>1050</v>
      </c>
      <c r="AA95">
        <v>1080</v>
      </c>
      <c r="AB95">
        <v>30.4</v>
      </c>
      <c r="AC95" s="81"/>
      <c r="AD95" s="81"/>
      <c r="AE95" s="81" t="s">
        <v>566</v>
      </c>
      <c r="AF95" s="81"/>
    </row>
    <row r="96" spans="2:32">
      <c r="B96" s="81" t="s">
        <v>567</v>
      </c>
      <c r="C96" s="81" t="s">
        <v>1027</v>
      </c>
      <c r="D96" s="81" t="s">
        <v>90</v>
      </c>
      <c r="E96" s="81" t="s">
        <v>570</v>
      </c>
      <c r="F96" s="81" t="s">
        <v>263</v>
      </c>
      <c r="G96" s="81" t="s">
        <v>263</v>
      </c>
      <c r="H96">
        <v>590</v>
      </c>
      <c r="I96">
        <v>325</v>
      </c>
      <c r="J96">
        <v>2345</v>
      </c>
      <c r="K96">
        <v>22</v>
      </c>
      <c r="L96">
        <v>30.8</v>
      </c>
      <c r="M96">
        <v>330</v>
      </c>
      <c r="O96">
        <v>720</v>
      </c>
      <c r="P96">
        <v>975</v>
      </c>
      <c r="Q96">
        <v>980</v>
      </c>
      <c r="R96">
        <v>700</v>
      </c>
      <c r="S96">
        <v>700</v>
      </c>
      <c r="V96">
        <v>2100</v>
      </c>
      <c r="AA96">
        <v>2345</v>
      </c>
      <c r="AB96">
        <v>70.349999999999994</v>
      </c>
      <c r="AC96" s="81"/>
      <c r="AD96" s="81"/>
      <c r="AE96" s="81" t="s">
        <v>571</v>
      </c>
      <c r="AF96" s="81"/>
    </row>
    <row r="97" spans="2:32">
      <c r="B97" s="81" t="s">
        <v>572</v>
      </c>
      <c r="C97" s="81" t="s">
        <v>1028</v>
      </c>
      <c r="D97" s="81" t="s">
        <v>90</v>
      </c>
      <c r="E97" s="81" t="s">
        <v>574</v>
      </c>
      <c r="F97" s="81" t="s">
        <v>790</v>
      </c>
      <c r="G97" s="81" t="s">
        <v>790</v>
      </c>
      <c r="H97">
        <v>585</v>
      </c>
      <c r="I97">
        <v>320</v>
      </c>
      <c r="J97">
        <v>1670</v>
      </c>
      <c r="K97">
        <v>17</v>
      </c>
      <c r="L97">
        <v>23.6</v>
      </c>
      <c r="M97">
        <v>350</v>
      </c>
      <c r="O97">
        <v>660</v>
      </c>
      <c r="P97">
        <v>970</v>
      </c>
      <c r="Q97">
        <v>980</v>
      </c>
      <c r="R97">
        <v>700</v>
      </c>
      <c r="S97">
        <v>700</v>
      </c>
      <c r="V97">
        <v>1565</v>
      </c>
      <c r="AA97">
        <v>1670</v>
      </c>
      <c r="AB97">
        <v>50.1</v>
      </c>
      <c r="AC97" s="81" t="s">
        <v>1114</v>
      </c>
      <c r="AD97" s="81"/>
      <c r="AE97" s="81" t="s">
        <v>575</v>
      </c>
      <c r="AF97" s="81"/>
    </row>
    <row r="98" spans="2:32">
      <c r="B98" s="81" t="s">
        <v>576</v>
      </c>
      <c r="C98" s="81" t="s">
        <v>1000</v>
      </c>
      <c r="D98" s="81" t="s">
        <v>90</v>
      </c>
      <c r="E98" s="81" t="s">
        <v>578</v>
      </c>
      <c r="F98" s="81" t="s">
        <v>103</v>
      </c>
      <c r="G98" s="81" t="s">
        <v>103</v>
      </c>
      <c r="H98">
        <v>660</v>
      </c>
      <c r="I98">
        <v>276</v>
      </c>
      <c r="J98">
        <v>2640</v>
      </c>
      <c r="K98">
        <v>29.3</v>
      </c>
      <c r="L98">
        <v>40.200000000000003</v>
      </c>
      <c r="M98">
        <v>340</v>
      </c>
      <c r="O98">
        <v>760</v>
      </c>
      <c r="P98">
        <v>970</v>
      </c>
      <c r="Q98">
        <v>980</v>
      </c>
      <c r="R98">
        <v>700</v>
      </c>
      <c r="S98">
        <v>800</v>
      </c>
      <c r="V98">
        <v>2520</v>
      </c>
      <c r="AA98">
        <v>2640</v>
      </c>
      <c r="AB98">
        <v>80.2</v>
      </c>
      <c r="AC98" s="81"/>
      <c r="AD98" s="81"/>
      <c r="AE98" s="81" t="s">
        <v>579</v>
      </c>
      <c r="AF98" s="81"/>
    </row>
    <row r="99" spans="2:32">
      <c r="B99" s="81" t="s">
        <v>580</v>
      </c>
      <c r="C99" s="81" t="s">
        <v>1001</v>
      </c>
      <c r="D99" s="81" t="s">
        <v>90</v>
      </c>
      <c r="E99" s="81" t="s">
        <v>583</v>
      </c>
      <c r="F99" s="81" t="s">
        <v>790</v>
      </c>
      <c r="G99" s="81" t="s">
        <v>790</v>
      </c>
      <c r="H99">
        <v>760</v>
      </c>
      <c r="I99">
        <v>280</v>
      </c>
      <c r="J99">
        <v>2760</v>
      </c>
      <c r="K99">
        <v>15.5</v>
      </c>
      <c r="L99">
        <v>21.1</v>
      </c>
      <c r="M99">
        <v>260</v>
      </c>
      <c r="O99">
        <v>650</v>
      </c>
      <c r="P99">
        <v>960</v>
      </c>
      <c r="Q99">
        <v>990</v>
      </c>
      <c r="R99">
        <v>700</v>
      </c>
      <c r="S99">
        <v>700</v>
      </c>
      <c r="V99">
        <v>2620</v>
      </c>
      <c r="AA99">
        <v>2760</v>
      </c>
      <c r="AB99">
        <v>84.8</v>
      </c>
      <c r="AC99" s="81"/>
      <c r="AD99" s="81"/>
      <c r="AE99" s="81" t="s">
        <v>584</v>
      </c>
      <c r="AF99" s="81"/>
    </row>
    <row r="100" spans="2:32">
      <c r="B100" s="81" t="s">
        <v>585</v>
      </c>
      <c r="C100" s="81" t="s">
        <v>1002</v>
      </c>
      <c r="D100" s="81" t="s">
        <v>90</v>
      </c>
      <c r="E100" s="81" t="s">
        <v>587</v>
      </c>
      <c r="F100" s="81" t="s">
        <v>790</v>
      </c>
      <c r="G100" s="81" t="s">
        <v>790</v>
      </c>
      <c r="H100">
        <v>725</v>
      </c>
      <c r="I100">
        <v>290</v>
      </c>
      <c r="J100">
        <v>1340</v>
      </c>
      <c r="K100">
        <v>17.5</v>
      </c>
      <c r="L100">
        <v>23.7</v>
      </c>
      <c r="M100">
        <v>480</v>
      </c>
      <c r="O100">
        <v>760</v>
      </c>
      <c r="P100">
        <v>970</v>
      </c>
      <c r="Q100">
        <v>970</v>
      </c>
      <c r="R100">
        <v>700</v>
      </c>
      <c r="S100">
        <v>700</v>
      </c>
      <c r="V100">
        <v>1260</v>
      </c>
      <c r="AA100">
        <v>1340</v>
      </c>
      <c r="AB100">
        <v>40.199999999999996</v>
      </c>
      <c r="AC100" s="81" t="s">
        <v>1162</v>
      </c>
      <c r="AD100" s="81"/>
      <c r="AE100" s="81" t="s">
        <v>589</v>
      </c>
      <c r="AF100" s="81"/>
    </row>
    <row r="101" spans="2:32">
      <c r="B101" s="81" t="s">
        <v>590</v>
      </c>
      <c r="C101" s="81" t="s">
        <v>1003</v>
      </c>
      <c r="D101" s="81" t="s">
        <v>90</v>
      </c>
      <c r="E101" s="81" t="s">
        <v>592</v>
      </c>
      <c r="F101" s="81" t="s">
        <v>790</v>
      </c>
      <c r="G101" s="81" t="s">
        <v>790</v>
      </c>
      <c r="H101">
        <v>830</v>
      </c>
      <c r="I101">
        <v>340</v>
      </c>
      <c r="J101">
        <v>2750</v>
      </c>
      <c r="K101">
        <v>18</v>
      </c>
      <c r="L101">
        <v>24.3</v>
      </c>
      <c r="M101">
        <v>390</v>
      </c>
      <c r="O101">
        <v>540</v>
      </c>
      <c r="P101">
        <v>960</v>
      </c>
      <c r="Q101">
        <v>980</v>
      </c>
      <c r="R101">
        <v>700</v>
      </c>
      <c r="S101">
        <v>700</v>
      </c>
      <c r="V101">
        <v>2550</v>
      </c>
      <c r="AA101">
        <v>2750</v>
      </c>
      <c r="AB101">
        <v>84.5</v>
      </c>
      <c r="AC101" s="81"/>
      <c r="AD101" s="81"/>
      <c r="AE101" s="81" t="s">
        <v>593</v>
      </c>
      <c r="AF101" s="81"/>
    </row>
    <row r="102" spans="2:32">
      <c r="B102" s="81" t="s">
        <v>594</v>
      </c>
      <c r="C102" s="81" t="s">
        <v>1004</v>
      </c>
      <c r="D102" s="81" t="s">
        <v>90</v>
      </c>
      <c r="E102" s="81" t="s">
        <v>596</v>
      </c>
      <c r="F102" s="81" t="s">
        <v>790</v>
      </c>
      <c r="G102" s="81" t="s">
        <v>790</v>
      </c>
      <c r="H102">
        <v>830</v>
      </c>
      <c r="I102">
        <v>405</v>
      </c>
      <c r="J102">
        <v>3645</v>
      </c>
      <c r="K102">
        <v>20</v>
      </c>
      <c r="L102">
        <v>26.5</v>
      </c>
      <c r="M102">
        <v>200</v>
      </c>
      <c r="O102">
        <v>930</v>
      </c>
      <c r="P102">
        <v>970</v>
      </c>
      <c r="Q102">
        <v>1000</v>
      </c>
      <c r="R102">
        <v>700</v>
      </c>
      <c r="S102">
        <v>700</v>
      </c>
      <c r="V102">
        <v>3590</v>
      </c>
      <c r="AA102">
        <v>3645</v>
      </c>
      <c r="AB102">
        <v>110.35</v>
      </c>
      <c r="AC102" s="81"/>
      <c r="AD102" s="81"/>
      <c r="AE102" s="81" t="s">
        <v>600</v>
      </c>
      <c r="AF102" s="81"/>
    </row>
    <row r="103" spans="2:32">
      <c r="B103" s="81" t="s">
        <v>601</v>
      </c>
      <c r="C103" s="81" t="s">
        <v>1005</v>
      </c>
      <c r="D103" s="81" t="s">
        <v>193</v>
      </c>
      <c r="E103" s="81" t="s">
        <v>604</v>
      </c>
      <c r="F103" s="81" t="s">
        <v>507</v>
      </c>
      <c r="G103" s="81" t="s">
        <v>507</v>
      </c>
      <c r="H103">
        <v>860</v>
      </c>
      <c r="I103">
        <v>170</v>
      </c>
      <c r="AA103">
        <v>630</v>
      </c>
      <c r="AC103" s="81"/>
      <c r="AD103" s="81"/>
      <c r="AE103" s="81" t="s">
        <v>605</v>
      </c>
      <c r="AF103" s="81"/>
    </row>
    <row r="104" spans="2:32">
      <c r="B104" s="81" t="s">
        <v>606</v>
      </c>
      <c r="C104" s="81" t="s">
        <v>1006</v>
      </c>
      <c r="D104" s="81" t="s">
        <v>193</v>
      </c>
      <c r="E104" s="81" t="s">
        <v>608</v>
      </c>
      <c r="F104" s="81" t="s">
        <v>507</v>
      </c>
      <c r="G104" s="81" t="s">
        <v>507</v>
      </c>
      <c r="H104">
        <v>860</v>
      </c>
      <c r="I104">
        <v>170</v>
      </c>
      <c r="K104">
        <v>13</v>
      </c>
      <c r="L104">
        <v>15.6</v>
      </c>
      <c r="M104">
        <v>720</v>
      </c>
      <c r="O104">
        <v>690</v>
      </c>
      <c r="P104">
        <v>850</v>
      </c>
      <c r="Q104">
        <v>990</v>
      </c>
      <c r="R104">
        <v>700</v>
      </c>
      <c r="S104">
        <v>700</v>
      </c>
      <c r="AA104">
        <v>915</v>
      </c>
      <c r="AC104" s="81"/>
      <c r="AD104" s="81"/>
      <c r="AE104" s="81" t="s">
        <v>609</v>
      </c>
      <c r="AF104" s="81"/>
    </row>
    <row r="105" spans="2:32">
      <c r="B105" s="81" t="s">
        <v>610</v>
      </c>
      <c r="C105" s="81" t="s">
        <v>1065</v>
      </c>
      <c r="D105" s="81" t="s">
        <v>90</v>
      </c>
      <c r="E105" s="81" t="s">
        <v>611</v>
      </c>
      <c r="F105" s="81" t="s">
        <v>790</v>
      </c>
      <c r="G105" s="81" t="s">
        <v>790</v>
      </c>
      <c r="H105">
        <v>1375</v>
      </c>
      <c r="I105">
        <v>182</v>
      </c>
      <c r="J105">
        <v>2040</v>
      </c>
      <c r="K105">
        <v>24.5</v>
      </c>
      <c r="L105">
        <v>32.6</v>
      </c>
      <c r="M105">
        <v>780</v>
      </c>
      <c r="O105">
        <v>740</v>
      </c>
      <c r="P105">
        <v>965</v>
      </c>
      <c r="Q105">
        <v>980</v>
      </c>
      <c r="R105">
        <v>700</v>
      </c>
      <c r="S105">
        <v>700</v>
      </c>
      <c r="V105">
        <v>2060</v>
      </c>
      <c r="AA105">
        <v>2040</v>
      </c>
      <c r="AB105">
        <v>60.199999999999996</v>
      </c>
      <c r="AC105" s="81" t="s">
        <v>1163</v>
      </c>
      <c r="AD105" s="81"/>
      <c r="AE105" s="81" t="s">
        <v>613</v>
      </c>
      <c r="AF105" s="81"/>
    </row>
    <row r="106" spans="2:32">
      <c r="B106" s="81" t="s">
        <v>614</v>
      </c>
      <c r="C106" s="81" t="s">
        <v>1066</v>
      </c>
      <c r="D106" s="81" t="s">
        <v>90</v>
      </c>
      <c r="E106" s="81" t="s">
        <v>615</v>
      </c>
      <c r="F106" s="81" t="s">
        <v>790</v>
      </c>
      <c r="G106" s="81" t="s">
        <v>790</v>
      </c>
      <c r="H106">
        <v>1460</v>
      </c>
      <c r="I106">
        <v>240</v>
      </c>
      <c r="J106">
        <v>2690</v>
      </c>
      <c r="K106">
        <v>26</v>
      </c>
      <c r="L106">
        <v>23.5</v>
      </c>
      <c r="M106">
        <v>470</v>
      </c>
      <c r="O106">
        <v>860</v>
      </c>
      <c r="P106">
        <v>970</v>
      </c>
      <c r="Q106">
        <v>970</v>
      </c>
      <c r="R106">
        <v>700</v>
      </c>
      <c r="S106">
        <v>700</v>
      </c>
      <c r="AA106">
        <v>2690</v>
      </c>
      <c r="AB106">
        <v>79.7</v>
      </c>
      <c r="AC106" s="81" t="s">
        <v>1163</v>
      </c>
      <c r="AD106" s="81"/>
      <c r="AE106" s="81" t="s">
        <v>616</v>
      </c>
      <c r="AF106" s="81"/>
    </row>
    <row r="107" spans="2:32">
      <c r="B107" s="81" t="s">
        <v>617</v>
      </c>
      <c r="C107" s="81" t="s">
        <v>1067</v>
      </c>
      <c r="D107" s="81" t="s">
        <v>90</v>
      </c>
      <c r="E107" s="81" t="s">
        <v>334</v>
      </c>
      <c r="F107" s="81" t="s">
        <v>790</v>
      </c>
      <c r="G107" s="81" t="s">
        <v>790</v>
      </c>
      <c r="H107">
        <v>1375</v>
      </c>
      <c r="I107">
        <v>162</v>
      </c>
      <c r="J107">
        <v>1325</v>
      </c>
      <c r="K107">
        <v>18.3</v>
      </c>
      <c r="L107">
        <v>24.9</v>
      </c>
      <c r="M107">
        <v>700</v>
      </c>
      <c r="O107">
        <v>860</v>
      </c>
      <c r="P107">
        <v>940</v>
      </c>
      <c r="Q107">
        <v>980</v>
      </c>
      <c r="R107">
        <v>700</v>
      </c>
      <c r="S107">
        <v>700</v>
      </c>
      <c r="V107">
        <v>1220</v>
      </c>
      <c r="AA107">
        <v>1325</v>
      </c>
      <c r="AB107">
        <v>39.75</v>
      </c>
      <c r="AC107" s="81" t="s">
        <v>1164</v>
      </c>
      <c r="AD107" s="81"/>
      <c r="AE107" s="81" t="s">
        <v>619</v>
      </c>
      <c r="AF107" s="81" t="s">
        <v>620</v>
      </c>
    </row>
    <row r="108" spans="2:32">
      <c r="B108" s="81" t="s">
        <v>621</v>
      </c>
      <c r="C108" s="81" t="s">
        <v>1068</v>
      </c>
      <c r="D108" s="81" t="s">
        <v>90</v>
      </c>
      <c r="E108" s="81" t="s">
        <v>345</v>
      </c>
      <c r="F108" s="81" t="s">
        <v>790</v>
      </c>
      <c r="G108" s="81" t="s">
        <v>790</v>
      </c>
      <c r="H108">
        <v>1375</v>
      </c>
      <c r="I108">
        <v>190</v>
      </c>
      <c r="J108">
        <v>1580</v>
      </c>
      <c r="K108">
        <v>22</v>
      </c>
      <c r="L108">
        <v>34</v>
      </c>
      <c r="M108">
        <v>900</v>
      </c>
      <c r="O108">
        <v>760</v>
      </c>
      <c r="P108">
        <v>970</v>
      </c>
      <c r="Q108">
        <v>980</v>
      </c>
      <c r="R108">
        <v>700</v>
      </c>
      <c r="S108">
        <v>700</v>
      </c>
      <c r="V108">
        <v>1570</v>
      </c>
      <c r="AA108">
        <v>1580</v>
      </c>
      <c r="AB108">
        <v>45.4</v>
      </c>
      <c r="AC108" s="81" t="s">
        <v>1165</v>
      </c>
      <c r="AD108" s="81"/>
      <c r="AE108" s="81" t="s">
        <v>623</v>
      </c>
      <c r="AF108" s="81" t="s">
        <v>620</v>
      </c>
    </row>
    <row r="109" spans="2:32">
      <c r="B109" s="81" t="s">
        <v>624</v>
      </c>
      <c r="C109" s="81" t="s">
        <v>1069</v>
      </c>
      <c r="D109" s="81" t="s">
        <v>90</v>
      </c>
      <c r="E109" s="81" t="s">
        <v>414</v>
      </c>
      <c r="F109" s="81" t="s">
        <v>790</v>
      </c>
      <c r="G109" s="81" t="s">
        <v>790</v>
      </c>
      <c r="H109">
        <v>1435</v>
      </c>
      <c r="I109">
        <v>154</v>
      </c>
      <c r="J109">
        <v>1050</v>
      </c>
      <c r="K109">
        <v>15.4</v>
      </c>
      <c r="L109">
        <v>23.4</v>
      </c>
      <c r="M109">
        <v>930</v>
      </c>
      <c r="O109">
        <v>760</v>
      </c>
      <c r="P109">
        <v>940</v>
      </c>
      <c r="Q109">
        <v>980</v>
      </c>
      <c r="R109">
        <v>700</v>
      </c>
      <c r="S109">
        <v>700</v>
      </c>
      <c r="V109">
        <v>1030</v>
      </c>
      <c r="AA109">
        <v>1050</v>
      </c>
      <c r="AB109">
        <v>29.5</v>
      </c>
      <c r="AC109" s="81" t="s">
        <v>1166</v>
      </c>
      <c r="AD109" s="81"/>
      <c r="AE109" s="81" t="s">
        <v>626</v>
      </c>
      <c r="AF109" s="81" t="s">
        <v>627</v>
      </c>
    </row>
    <row r="110" spans="2:32">
      <c r="B110" s="81" t="s">
        <v>628</v>
      </c>
      <c r="C110" s="81" t="s">
        <v>1070</v>
      </c>
      <c r="D110" s="81" t="s">
        <v>90</v>
      </c>
      <c r="E110" s="81" t="s">
        <v>629</v>
      </c>
      <c r="F110" s="81" t="s">
        <v>790</v>
      </c>
      <c r="G110" s="81" t="s">
        <v>790</v>
      </c>
      <c r="H110">
        <v>1440</v>
      </c>
      <c r="I110">
        <v>192</v>
      </c>
      <c r="J110">
        <v>2065</v>
      </c>
      <c r="K110">
        <v>25.4</v>
      </c>
      <c r="L110">
        <v>34.299999999999997</v>
      </c>
      <c r="M110">
        <v>830</v>
      </c>
      <c r="O110">
        <v>760</v>
      </c>
      <c r="P110">
        <v>930</v>
      </c>
      <c r="Q110">
        <v>980</v>
      </c>
      <c r="R110">
        <v>700</v>
      </c>
      <c r="S110">
        <v>700</v>
      </c>
      <c r="V110">
        <v>1960</v>
      </c>
      <c r="AA110">
        <v>2065</v>
      </c>
      <c r="AB110">
        <v>59.949999999999996</v>
      </c>
      <c r="AC110" s="81" t="s">
        <v>1167</v>
      </c>
      <c r="AD110" s="81"/>
      <c r="AE110" s="81" t="s">
        <v>631</v>
      </c>
      <c r="AF110" s="81" t="s">
        <v>620</v>
      </c>
    </row>
    <row r="111" spans="2:32">
      <c r="B111" s="81" t="s">
        <v>632</v>
      </c>
      <c r="C111" s="81" t="s">
        <v>1019</v>
      </c>
      <c r="D111" s="81" t="s">
        <v>90</v>
      </c>
      <c r="E111" s="81" t="s">
        <v>394</v>
      </c>
      <c r="F111" s="81" t="s">
        <v>633</v>
      </c>
      <c r="G111" s="81" t="s">
        <v>633</v>
      </c>
      <c r="H111">
        <v>1435</v>
      </c>
      <c r="I111">
        <v>168</v>
      </c>
      <c r="J111">
        <v>1270</v>
      </c>
      <c r="K111">
        <v>19</v>
      </c>
      <c r="L111">
        <v>25.5</v>
      </c>
      <c r="M111">
        <v>900</v>
      </c>
      <c r="O111">
        <v>750</v>
      </c>
      <c r="P111">
        <v>960</v>
      </c>
      <c r="Q111">
        <v>980</v>
      </c>
      <c r="R111">
        <v>700</v>
      </c>
      <c r="S111">
        <v>700</v>
      </c>
      <c r="V111">
        <v>1340</v>
      </c>
      <c r="AA111">
        <v>1270</v>
      </c>
      <c r="AB111">
        <v>40.1</v>
      </c>
      <c r="AC111" s="81" t="s">
        <v>1168</v>
      </c>
      <c r="AD111" s="81"/>
      <c r="AE111" s="81" t="s">
        <v>634</v>
      </c>
      <c r="AF111" s="81" t="s">
        <v>635</v>
      </c>
    </row>
    <row r="112" spans="2:32">
      <c r="B112" s="81" t="s">
        <v>636</v>
      </c>
      <c r="C112" s="81" t="s">
        <v>1024</v>
      </c>
      <c r="D112" s="81" t="s">
        <v>90</v>
      </c>
      <c r="E112" s="81" t="s">
        <v>445</v>
      </c>
      <c r="F112" s="81" t="s">
        <v>633</v>
      </c>
      <c r="G112" s="81" t="s">
        <v>633</v>
      </c>
      <c r="H112">
        <v>1435</v>
      </c>
      <c r="I112">
        <v>195</v>
      </c>
      <c r="J112">
        <v>1550</v>
      </c>
      <c r="K112">
        <v>23.5</v>
      </c>
      <c r="L112">
        <v>32.1</v>
      </c>
      <c r="M112">
        <v>930</v>
      </c>
      <c r="O112">
        <v>760</v>
      </c>
      <c r="P112">
        <v>965</v>
      </c>
      <c r="Q112">
        <v>980</v>
      </c>
      <c r="R112">
        <v>700</v>
      </c>
      <c r="S112">
        <v>700</v>
      </c>
      <c r="V112">
        <v>1610</v>
      </c>
      <c r="AA112">
        <v>1550</v>
      </c>
      <c r="AB112">
        <v>44.5</v>
      </c>
      <c r="AC112" s="81" t="s">
        <v>1169</v>
      </c>
      <c r="AD112" s="81"/>
      <c r="AE112" s="81" t="s">
        <v>638</v>
      </c>
      <c r="AF112" s="81" t="s">
        <v>458</v>
      </c>
    </row>
    <row r="113" spans="2:32">
      <c r="B113" s="81" t="s">
        <v>639</v>
      </c>
      <c r="C113" s="81" t="s">
        <v>1071</v>
      </c>
      <c r="D113" s="81" t="s">
        <v>90</v>
      </c>
      <c r="E113" s="81" t="s">
        <v>317</v>
      </c>
      <c r="F113" s="81" t="s">
        <v>263</v>
      </c>
      <c r="G113" s="81" t="s">
        <v>263</v>
      </c>
      <c r="H113">
        <v>1225</v>
      </c>
      <c r="I113">
        <v>165</v>
      </c>
      <c r="J113">
        <v>1280</v>
      </c>
      <c r="K113">
        <v>10.7</v>
      </c>
      <c r="L113">
        <v>15.7</v>
      </c>
      <c r="M113">
        <v>560</v>
      </c>
      <c r="O113">
        <v>725</v>
      </c>
      <c r="P113">
        <v>980</v>
      </c>
      <c r="Q113">
        <v>980</v>
      </c>
      <c r="R113">
        <v>700</v>
      </c>
      <c r="S113">
        <v>700</v>
      </c>
      <c r="V113">
        <v>1210</v>
      </c>
      <c r="AA113">
        <v>1280</v>
      </c>
      <c r="AB113">
        <v>40.4</v>
      </c>
      <c r="AC113" s="81" t="s">
        <v>1170</v>
      </c>
      <c r="AD113" s="81"/>
      <c r="AE113" s="81" t="s">
        <v>642</v>
      </c>
      <c r="AF113" s="81" t="s">
        <v>627</v>
      </c>
    </row>
    <row r="114" spans="2:32">
      <c r="B114" s="81" t="s">
        <v>643</v>
      </c>
      <c r="C114" s="81" t="s">
        <v>1072</v>
      </c>
      <c r="D114" s="81" t="s">
        <v>90</v>
      </c>
      <c r="E114" s="81" t="s">
        <v>440</v>
      </c>
      <c r="F114" s="81" t="s">
        <v>263</v>
      </c>
      <c r="G114" s="81" t="s">
        <v>263</v>
      </c>
      <c r="H114">
        <v>1225</v>
      </c>
      <c r="I114">
        <v>190</v>
      </c>
      <c r="J114">
        <v>1810</v>
      </c>
      <c r="K114">
        <v>13</v>
      </c>
      <c r="L114">
        <v>18.2</v>
      </c>
      <c r="M114">
        <v>770</v>
      </c>
      <c r="O114">
        <v>700</v>
      </c>
      <c r="P114">
        <v>970</v>
      </c>
      <c r="Q114">
        <v>980</v>
      </c>
      <c r="R114">
        <v>700</v>
      </c>
      <c r="S114">
        <v>700</v>
      </c>
      <c r="V114">
        <v>1730</v>
      </c>
      <c r="AA114">
        <v>1810</v>
      </c>
      <c r="AB114">
        <v>55.3</v>
      </c>
      <c r="AC114" s="81" t="s">
        <v>1171</v>
      </c>
      <c r="AD114" s="81"/>
      <c r="AE114" s="81" t="s">
        <v>645</v>
      </c>
      <c r="AF114" s="81" t="s">
        <v>627</v>
      </c>
    </row>
    <row r="115" spans="2:32">
      <c r="B115" s="81" t="s">
        <v>646</v>
      </c>
      <c r="C115" s="81" t="s">
        <v>1073</v>
      </c>
      <c r="D115" s="81" t="s">
        <v>90</v>
      </c>
      <c r="E115" s="81" t="s">
        <v>649</v>
      </c>
      <c r="F115" s="81" t="s">
        <v>263</v>
      </c>
      <c r="G115" s="81" t="s">
        <v>263</v>
      </c>
      <c r="H115">
        <v>1240</v>
      </c>
      <c r="I115">
        <v>255</v>
      </c>
      <c r="J115">
        <v>2235</v>
      </c>
      <c r="AA115">
        <v>2235</v>
      </c>
      <c r="AB115">
        <v>65.05</v>
      </c>
      <c r="AC115" s="81" t="s">
        <v>1172</v>
      </c>
      <c r="AD115" s="81"/>
      <c r="AE115" s="81" t="s">
        <v>651</v>
      </c>
      <c r="AF115" s="81" t="s">
        <v>652</v>
      </c>
    </row>
    <row r="116" spans="2:32">
      <c r="B116" s="81" t="s">
        <v>653</v>
      </c>
      <c r="C116" s="81" t="s">
        <v>1074</v>
      </c>
      <c r="D116" s="81" t="s">
        <v>90</v>
      </c>
      <c r="E116" s="81" t="s">
        <v>655</v>
      </c>
      <c r="F116" s="81" t="s">
        <v>263</v>
      </c>
      <c r="G116" s="81" t="s">
        <v>263</v>
      </c>
      <c r="H116">
        <v>1435</v>
      </c>
      <c r="I116">
        <v>145</v>
      </c>
      <c r="J116">
        <v>1100</v>
      </c>
      <c r="AA116">
        <v>1110</v>
      </c>
      <c r="AB116">
        <v>35.299999999999997</v>
      </c>
      <c r="AC116" s="81" t="s">
        <v>1173</v>
      </c>
      <c r="AD116" s="81"/>
      <c r="AE116" s="81" t="s">
        <v>657</v>
      </c>
      <c r="AF116" s="81" t="s">
        <v>652</v>
      </c>
    </row>
    <row r="117" spans="2:32">
      <c r="B117" s="81" t="s">
        <v>438</v>
      </c>
      <c r="C117" s="81" t="s">
        <v>1075</v>
      </c>
      <c r="D117" s="81" t="s">
        <v>90</v>
      </c>
      <c r="E117" s="81" t="s">
        <v>658</v>
      </c>
      <c r="F117" s="81" t="s">
        <v>409</v>
      </c>
      <c r="G117" s="81" t="s">
        <v>409</v>
      </c>
      <c r="H117">
        <v>1435</v>
      </c>
      <c r="I117">
        <v>186</v>
      </c>
      <c r="J117">
        <v>1600</v>
      </c>
      <c r="K117">
        <v>21</v>
      </c>
      <c r="L117">
        <v>28.4</v>
      </c>
      <c r="M117">
        <v>870</v>
      </c>
      <c r="O117">
        <v>700</v>
      </c>
      <c r="P117">
        <v>950</v>
      </c>
      <c r="Q117">
        <v>980</v>
      </c>
      <c r="R117">
        <v>930</v>
      </c>
      <c r="S117">
        <v>800</v>
      </c>
      <c r="V117">
        <v>1640</v>
      </c>
      <c r="W117" t="s">
        <v>335</v>
      </c>
      <c r="X117" t="s">
        <v>336</v>
      </c>
      <c r="Y117" t="s">
        <v>1099</v>
      </c>
      <c r="Z117">
        <v>50</v>
      </c>
      <c r="AA117">
        <v>1620</v>
      </c>
      <c r="AB117">
        <v>49.6</v>
      </c>
      <c r="AC117" s="81" t="s">
        <v>1174</v>
      </c>
      <c r="AD117" s="81"/>
      <c r="AE117" s="81" t="s">
        <v>661</v>
      </c>
      <c r="AF117" s="81" t="s">
        <v>662</v>
      </c>
    </row>
    <row r="118" spans="2:32">
      <c r="B118" s="81" t="s">
        <v>663</v>
      </c>
      <c r="C118" s="81" t="s">
        <v>1076</v>
      </c>
      <c r="D118" s="81" t="s">
        <v>90</v>
      </c>
      <c r="E118" s="81" t="s">
        <v>664</v>
      </c>
      <c r="F118" s="81" t="s">
        <v>409</v>
      </c>
      <c r="G118" s="81" t="s">
        <v>409</v>
      </c>
      <c r="H118">
        <v>1460</v>
      </c>
      <c r="I118">
        <v>240</v>
      </c>
      <c r="J118">
        <v>2565</v>
      </c>
      <c r="K118">
        <v>39</v>
      </c>
      <c r="L118">
        <v>35.299999999999997</v>
      </c>
      <c r="M118">
        <v>800</v>
      </c>
      <c r="O118">
        <v>780</v>
      </c>
      <c r="P118">
        <v>960</v>
      </c>
      <c r="Q118">
        <v>980</v>
      </c>
      <c r="R118">
        <v>700</v>
      </c>
      <c r="S118">
        <v>700</v>
      </c>
      <c r="V118">
        <v>2660</v>
      </c>
      <c r="W118" t="s">
        <v>335</v>
      </c>
      <c r="X118" t="s">
        <v>665</v>
      </c>
      <c r="Y118" t="s">
        <v>1099</v>
      </c>
      <c r="Z118">
        <v>77</v>
      </c>
      <c r="AA118">
        <v>2640</v>
      </c>
      <c r="AB118">
        <v>80.2</v>
      </c>
      <c r="AC118" s="81" t="s">
        <v>1175</v>
      </c>
      <c r="AD118" s="81"/>
      <c r="AE118" s="81" t="s">
        <v>669</v>
      </c>
      <c r="AF118" s="81" t="s">
        <v>670</v>
      </c>
    </row>
    <row r="119" spans="2:32">
      <c r="B119" s="81" t="s">
        <v>671</v>
      </c>
      <c r="C119" s="81" t="s">
        <v>1029</v>
      </c>
      <c r="D119" s="81" t="s">
        <v>193</v>
      </c>
      <c r="E119" s="81" t="s">
        <v>672</v>
      </c>
      <c r="F119" s="81" t="s">
        <v>409</v>
      </c>
      <c r="G119" s="81" t="s">
        <v>409</v>
      </c>
      <c r="H119">
        <v>1195</v>
      </c>
      <c r="I119">
        <v>190</v>
      </c>
      <c r="J119">
        <v>1230.2</v>
      </c>
      <c r="W119" t="s">
        <v>335</v>
      </c>
      <c r="X119" t="s">
        <v>336</v>
      </c>
      <c r="Y119" t="s">
        <v>1099</v>
      </c>
      <c r="Z119">
        <v>42</v>
      </c>
      <c r="AA119">
        <v>1220</v>
      </c>
      <c r="AC119" s="81" t="s">
        <v>1161</v>
      </c>
      <c r="AD119" s="81"/>
      <c r="AE119" s="81" t="s">
        <v>674</v>
      </c>
      <c r="AF119" s="81" t="s">
        <v>675</v>
      </c>
    </row>
    <row r="120" spans="2:32">
      <c r="B120" s="81" t="s">
        <v>676</v>
      </c>
      <c r="C120" s="81" t="s">
        <v>1030</v>
      </c>
      <c r="D120" s="81" t="s">
        <v>193</v>
      </c>
      <c r="E120" s="81" t="s">
        <v>678</v>
      </c>
      <c r="F120" s="81" t="s">
        <v>409</v>
      </c>
      <c r="G120" s="81" t="s">
        <v>409</v>
      </c>
      <c r="H120">
        <v>1195</v>
      </c>
      <c r="I120">
        <v>245</v>
      </c>
      <c r="J120">
        <v>1455.4</v>
      </c>
      <c r="W120" t="s">
        <v>335</v>
      </c>
      <c r="X120" t="s">
        <v>679</v>
      </c>
      <c r="Y120" t="s">
        <v>1099</v>
      </c>
      <c r="Z120">
        <v>54</v>
      </c>
      <c r="AA120">
        <v>1440</v>
      </c>
      <c r="AC120" s="81" t="s">
        <v>1176</v>
      </c>
      <c r="AD120" s="81"/>
      <c r="AE120" s="81" t="s">
        <v>681</v>
      </c>
      <c r="AF120" s="81" t="s">
        <v>682</v>
      </c>
    </row>
    <row r="121" spans="2:32">
      <c r="B121" s="81" t="s">
        <v>683</v>
      </c>
      <c r="C121" s="81" t="s">
        <v>1031</v>
      </c>
      <c r="D121" s="81" t="s">
        <v>90</v>
      </c>
      <c r="E121" s="81" t="s">
        <v>685</v>
      </c>
      <c r="F121" s="81" t="s">
        <v>409</v>
      </c>
      <c r="G121" s="81" t="s">
        <v>409</v>
      </c>
      <c r="H121">
        <v>1200</v>
      </c>
      <c r="I121">
        <v>249</v>
      </c>
      <c r="J121">
        <v>1870</v>
      </c>
      <c r="K121">
        <v>23.4</v>
      </c>
      <c r="L121">
        <v>31.7</v>
      </c>
      <c r="M121">
        <v>860</v>
      </c>
      <c r="O121">
        <v>830</v>
      </c>
      <c r="P121">
        <v>960</v>
      </c>
      <c r="Q121">
        <v>980</v>
      </c>
      <c r="R121">
        <v>700</v>
      </c>
      <c r="S121">
        <v>700</v>
      </c>
      <c r="V121">
        <v>1920</v>
      </c>
      <c r="W121" t="s">
        <v>335</v>
      </c>
      <c r="X121" t="s">
        <v>686</v>
      </c>
      <c r="Y121" t="s">
        <v>1099</v>
      </c>
      <c r="Z121">
        <v>62</v>
      </c>
      <c r="AA121">
        <v>1930</v>
      </c>
      <c r="AB121">
        <v>54.9</v>
      </c>
      <c r="AC121" s="81" t="s">
        <v>1120</v>
      </c>
      <c r="AD121" s="81"/>
      <c r="AE121" s="81" t="s">
        <v>688</v>
      </c>
      <c r="AF121" s="81" t="s">
        <v>689</v>
      </c>
    </row>
    <row r="122" spans="2:32">
      <c r="B122" s="81" t="s">
        <v>690</v>
      </c>
      <c r="C122" s="81" t="s">
        <v>1077</v>
      </c>
      <c r="D122" s="81" t="s">
        <v>193</v>
      </c>
      <c r="E122" s="81" t="s">
        <v>692</v>
      </c>
      <c r="F122" s="81" t="s">
        <v>203</v>
      </c>
      <c r="G122" s="81" t="s">
        <v>203</v>
      </c>
      <c r="H122">
        <v>1225</v>
      </c>
      <c r="I122">
        <v>255</v>
      </c>
      <c r="J122">
        <v>2050.3000000000002</v>
      </c>
      <c r="W122" t="s">
        <v>335</v>
      </c>
      <c r="X122" t="s">
        <v>359</v>
      </c>
      <c r="Y122" t="s">
        <v>1099</v>
      </c>
      <c r="Z122">
        <v>59</v>
      </c>
      <c r="AA122">
        <v>2030</v>
      </c>
      <c r="AC122" s="81" t="s">
        <v>1162</v>
      </c>
      <c r="AD122" s="81"/>
      <c r="AE122" s="81" t="s">
        <v>694</v>
      </c>
      <c r="AF122" s="81" t="s">
        <v>695</v>
      </c>
    </row>
    <row r="123" spans="2:32">
      <c r="B123" s="81" t="s">
        <v>696</v>
      </c>
      <c r="C123" s="81" t="s">
        <v>1078</v>
      </c>
      <c r="D123" s="81" t="s">
        <v>193</v>
      </c>
      <c r="E123" s="81" t="s">
        <v>700</v>
      </c>
      <c r="F123" s="81" t="s">
        <v>203</v>
      </c>
      <c r="G123" s="81" t="s">
        <v>203</v>
      </c>
      <c r="H123">
        <v>1225</v>
      </c>
      <c r="I123">
        <v>330</v>
      </c>
      <c r="J123">
        <v>3240.1</v>
      </c>
      <c r="W123" t="s">
        <v>335</v>
      </c>
      <c r="X123" t="s">
        <v>701</v>
      </c>
      <c r="Y123" t="s">
        <v>1099</v>
      </c>
      <c r="Z123">
        <v>76</v>
      </c>
      <c r="AA123">
        <v>3210</v>
      </c>
      <c r="AC123" s="81" t="s">
        <v>1177</v>
      </c>
      <c r="AD123" s="81"/>
      <c r="AE123" s="81" t="s">
        <v>703</v>
      </c>
      <c r="AF123" s="81" t="s">
        <v>704</v>
      </c>
    </row>
    <row r="124" spans="2:32">
      <c r="B124" s="81" t="s">
        <v>705</v>
      </c>
      <c r="C124" s="81" t="s">
        <v>1079</v>
      </c>
      <c r="D124" s="81" t="s">
        <v>90</v>
      </c>
      <c r="E124" s="81" t="s">
        <v>706</v>
      </c>
      <c r="F124" s="81" t="s">
        <v>409</v>
      </c>
      <c r="G124" s="81" t="s">
        <v>409</v>
      </c>
      <c r="H124">
        <v>1440</v>
      </c>
      <c r="I124">
        <v>200</v>
      </c>
      <c r="J124">
        <v>1620</v>
      </c>
      <c r="K124">
        <v>23.4</v>
      </c>
      <c r="L124">
        <v>31.7</v>
      </c>
      <c r="M124">
        <v>860</v>
      </c>
      <c r="O124">
        <v>830</v>
      </c>
      <c r="P124">
        <v>960</v>
      </c>
      <c r="Q124">
        <v>980</v>
      </c>
      <c r="R124">
        <v>700</v>
      </c>
      <c r="S124">
        <v>700</v>
      </c>
      <c r="V124">
        <v>1600</v>
      </c>
      <c r="W124" t="s">
        <v>335</v>
      </c>
      <c r="X124" t="s">
        <v>336</v>
      </c>
      <c r="Y124" t="s">
        <v>1099</v>
      </c>
      <c r="Z124">
        <v>50</v>
      </c>
      <c r="AA124">
        <v>1670</v>
      </c>
      <c r="AB124">
        <v>50.1</v>
      </c>
      <c r="AC124" s="81" t="s">
        <v>1120</v>
      </c>
      <c r="AD124" s="81"/>
      <c r="AE124" s="81" t="s">
        <v>708</v>
      </c>
      <c r="AF124" s="81" t="s">
        <v>709</v>
      </c>
    </row>
    <row r="125" spans="2:32">
      <c r="B125" s="81" t="s">
        <v>710</v>
      </c>
      <c r="C125" s="81" t="s">
        <v>1080</v>
      </c>
      <c r="D125" s="81" t="s">
        <v>90</v>
      </c>
      <c r="E125" s="81" t="s">
        <v>712</v>
      </c>
      <c r="F125" s="81" t="s">
        <v>103</v>
      </c>
      <c r="G125" s="81" t="s">
        <v>103</v>
      </c>
      <c r="H125">
        <v>1230</v>
      </c>
      <c r="I125">
        <v>185</v>
      </c>
      <c r="J125">
        <v>1130</v>
      </c>
      <c r="K125">
        <v>21</v>
      </c>
      <c r="L125">
        <v>27.8</v>
      </c>
      <c r="M125">
        <v>680</v>
      </c>
      <c r="O125">
        <v>780</v>
      </c>
      <c r="P125">
        <v>930</v>
      </c>
      <c r="Q125">
        <v>980</v>
      </c>
      <c r="R125">
        <v>700</v>
      </c>
      <c r="S125">
        <v>700</v>
      </c>
      <c r="V125">
        <v>1200</v>
      </c>
      <c r="W125" t="s">
        <v>335</v>
      </c>
      <c r="X125" t="s">
        <v>713</v>
      </c>
      <c r="Y125" t="s">
        <v>1099</v>
      </c>
      <c r="Z125">
        <v>30</v>
      </c>
      <c r="AA125">
        <v>1160</v>
      </c>
      <c r="AB125">
        <v>34.799999999999997</v>
      </c>
      <c r="AC125" s="81" t="s">
        <v>1178</v>
      </c>
      <c r="AD125" s="81"/>
      <c r="AE125" s="81"/>
      <c r="AF125" s="81" t="s">
        <v>714</v>
      </c>
    </row>
    <row r="126" spans="2:32">
      <c r="B126" s="81" t="s">
        <v>715</v>
      </c>
      <c r="C126" s="81" t="s">
        <v>1080</v>
      </c>
      <c r="D126" s="81" t="s">
        <v>193</v>
      </c>
      <c r="E126" s="81" t="s">
        <v>712</v>
      </c>
      <c r="F126" s="81" t="s">
        <v>103</v>
      </c>
      <c r="G126" s="81" t="s">
        <v>103</v>
      </c>
      <c r="H126">
        <v>1230</v>
      </c>
      <c r="I126">
        <v>185</v>
      </c>
      <c r="J126">
        <v>1169.5999999999999</v>
      </c>
      <c r="K126">
        <v>21</v>
      </c>
      <c r="L126">
        <v>27.8</v>
      </c>
      <c r="M126">
        <v>680</v>
      </c>
      <c r="O126">
        <v>780</v>
      </c>
      <c r="P126">
        <v>930</v>
      </c>
      <c r="Q126">
        <v>980</v>
      </c>
      <c r="R126">
        <v>700</v>
      </c>
      <c r="S126">
        <v>700</v>
      </c>
      <c r="V126">
        <v>1200</v>
      </c>
      <c r="W126" t="s">
        <v>335</v>
      </c>
      <c r="X126" t="s">
        <v>713</v>
      </c>
      <c r="Y126" t="s">
        <v>1099</v>
      </c>
      <c r="Z126">
        <v>30</v>
      </c>
      <c r="AA126">
        <v>1160</v>
      </c>
      <c r="AC126" s="81" t="s">
        <v>1178</v>
      </c>
      <c r="AD126" s="81"/>
      <c r="AE126" s="81"/>
      <c r="AF126" s="81" t="s">
        <v>714</v>
      </c>
    </row>
    <row r="127" spans="2:32">
      <c r="B127" s="81" t="s">
        <v>716</v>
      </c>
      <c r="C127" s="81" t="s">
        <v>1007</v>
      </c>
      <c r="D127" s="81" t="s">
        <v>90</v>
      </c>
      <c r="E127" s="81" t="s">
        <v>719</v>
      </c>
      <c r="F127" s="81" t="s">
        <v>790</v>
      </c>
      <c r="G127" s="81" t="s">
        <v>790</v>
      </c>
      <c r="H127">
        <v>217</v>
      </c>
      <c r="I127">
        <v>225</v>
      </c>
      <c r="J127">
        <v>825</v>
      </c>
      <c r="K127">
        <v>17</v>
      </c>
      <c r="L127">
        <v>23.4</v>
      </c>
      <c r="M127">
        <v>460</v>
      </c>
      <c r="O127">
        <v>470</v>
      </c>
      <c r="P127">
        <v>970</v>
      </c>
      <c r="Q127">
        <v>980</v>
      </c>
      <c r="R127">
        <v>700</v>
      </c>
      <c r="S127">
        <v>700</v>
      </c>
      <c r="V127">
        <v>480</v>
      </c>
      <c r="AA127">
        <v>825</v>
      </c>
      <c r="AB127">
        <v>24.75</v>
      </c>
      <c r="AC127" s="81"/>
      <c r="AD127" s="81"/>
      <c r="AE127" s="81" t="s">
        <v>722</v>
      </c>
      <c r="AF127" s="81"/>
    </row>
    <row r="128" spans="2:32">
      <c r="B128" s="81" t="s">
        <v>723</v>
      </c>
      <c r="C128" s="81" t="s">
        <v>1032</v>
      </c>
      <c r="D128" s="81" t="s">
        <v>193</v>
      </c>
      <c r="E128" s="81" t="s">
        <v>726</v>
      </c>
      <c r="F128" s="81" t="s">
        <v>727</v>
      </c>
      <c r="G128" s="81" t="s">
        <v>633</v>
      </c>
      <c r="H128">
        <v>1200</v>
      </c>
      <c r="I128">
        <v>180</v>
      </c>
      <c r="J128">
        <v>1369.55</v>
      </c>
      <c r="K128">
        <v>23</v>
      </c>
      <c r="L128">
        <v>20</v>
      </c>
      <c r="M128">
        <v>640</v>
      </c>
      <c r="O128">
        <v>830</v>
      </c>
      <c r="P128">
        <v>950</v>
      </c>
      <c r="Q128">
        <v>1000</v>
      </c>
      <c r="R128">
        <v>690</v>
      </c>
      <c r="S128">
        <v>700</v>
      </c>
      <c r="V128">
        <v>1320</v>
      </c>
      <c r="W128" t="s">
        <v>335</v>
      </c>
      <c r="X128" t="s">
        <v>728</v>
      </c>
      <c r="Y128" t="s">
        <v>1099</v>
      </c>
      <c r="Z128">
        <v>37</v>
      </c>
      <c r="AA128">
        <v>1355</v>
      </c>
      <c r="AC128" s="81" t="s">
        <v>1179</v>
      </c>
      <c r="AD128" s="81" t="s">
        <v>730</v>
      </c>
      <c r="AE128" s="81" t="s">
        <v>732</v>
      </c>
      <c r="AF128" s="81" t="s">
        <v>733</v>
      </c>
    </row>
    <row r="129" spans="2:32">
      <c r="B129" s="81" t="s">
        <v>734</v>
      </c>
      <c r="C129" s="81" t="s">
        <v>1081</v>
      </c>
      <c r="D129" s="81" t="s">
        <v>193</v>
      </c>
      <c r="E129" s="81" t="s">
        <v>736</v>
      </c>
      <c r="F129" s="81" t="s">
        <v>727</v>
      </c>
      <c r="G129" s="81" t="s">
        <v>633</v>
      </c>
      <c r="H129">
        <v>870</v>
      </c>
      <c r="I129">
        <v>209</v>
      </c>
      <c r="J129">
        <v>1335.2</v>
      </c>
      <c r="K129">
        <v>35</v>
      </c>
      <c r="L129">
        <v>23</v>
      </c>
      <c r="M129">
        <v>680</v>
      </c>
      <c r="O129">
        <v>800</v>
      </c>
      <c r="P129">
        <v>980</v>
      </c>
      <c r="Q129">
        <v>980</v>
      </c>
      <c r="R129">
        <v>690</v>
      </c>
      <c r="S129">
        <v>700</v>
      </c>
      <c r="V129">
        <v>1280</v>
      </c>
      <c r="W129" t="s">
        <v>335</v>
      </c>
      <c r="X129" t="s">
        <v>728</v>
      </c>
      <c r="Y129" t="s">
        <v>1099</v>
      </c>
      <c r="Z129">
        <v>27</v>
      </c>
      <c r="AA129">
        <v>1320</v>
      </c>
      <c r="AC129" s="81" t="s">
        <v>1180</v>
      </c>
      <c r="AD129" s="81" t="s">
        <v>730</v>
      </c>
      <c r="AE129" s="81" t="s">
        <v>738</v>
      </c>
      <c r="AF129" s="81" t="s">
        <v>739</v>
      </c>
    </row>
    <row r="130" spans="2:32">
      <c r="B130" s="81" t="s">
        <v>740</v>
      </c>
      <c r="C130" s="81" t="s">
        <v>1082</v>
      </c>
      <c r="D130" s="81" t="s">
        <v>193</v>
      </c>
      <c r="E130" s="81" t="s">
        <v>743</v>
      </c>
      <c r="F130" s="81" t="s">
        <v>727</v>
      </c>
      <c r="G130" s="81" t="s">
        <v>633</v>
      </c>
      <c r="H130">
        <v>880</v>
      </c>
      <c r="I130">
        <v>285</v>
      </c>
      <c r="J130">
        <v>2230.1</v>
      </c>
      <c r="K130">
        <v>37</v>
      </c>
      <c r="L130">
        <v>24</v>
      </c>
      <c r="M130">
        <v>380</v>
      </c>
      <c r="O130">
        <v>800</v>
      </c>
      <c r="P130">
        <v>960</v>
      </c>
      <c r="Q130">
        <v>980</v>
      </c>
      <c r="R130">
        <v>685</v>
      </c>
      <c r="S130">
        <v>700</v>
      </c>
      <c r="V130">
        <v>1972</v>
      </c>
      <c r="W130" t="s">
        <v>335</v>
      </c>
      <c r="X130" t="s">
        <v>359</v>
      </c>
      <c r="Y130" t="s">
        <v>1100</v>
      </c>
      <c r="Z130">
        <v>71</v>
      </c>
      <c r="AA130">
        <v>2210</v>
      </c>
      <c r="AC130" s="81" t="s">
        <v>1181</v>
      </c>
      <c r="AD130" s="81" t="s">
        <v>745</v>
      </c>
      <c r="AE130" s="81" t="s">
        <v>747</v>
      </c>
      <c r="AF130" s="81" t="s">
        <v>748</v>
      </c>
    </row>
    <row r="131" spans="2:32">
      <c r="B131" s="81" t="s">
        <v>749</v>
      </c>
      <c r="C131" s="81" t="s">
        <v>1033</v>
      </c>
      <c r="D131" s="81" t="s">
        <v>193</v>
      </c>
      <c r="E131" s="81" t="s">
        <v>751</v>
      </c>
      <c r="F131" s="81" t="s">
        <v>727</v>
      </c>
      <c r="G131" s="81" t="s">
        <v>633</v>
      </c>
      <c r="H131">
        <v>1200</v>
      </c>
      <c r="I131">
        <v>207</v>
      </c>
      <c r="J131">
        <v>1679.65</v>
      </c>
      <c r="K131">
        <v>30</v>
      </c>
      <c r="L131">
        <v>22</v>
      </c>
      <c r="M131">
        <v>700</v>
      </c>
      <c r="O131">
        <v>800</v>
      </c>
      <c r="P131">
        <v>800</v>
      </c>
      <c r="Q131">
        <v>950</v>
      </c>
      <c r="R131">
        <v>980</v>
      </c>
      <c r="S131">
        <v>680</v>
      </c>
      <c r="V131">
        <v>1553</v>
      </c>
      <c r="W131" t="s">
        <v>335</v>
      </c>
      <c r="X131" t="s">
        <v>752</v>
      </c>
      <c r="Y131" t="s">
        <v>1099</v>
      </c>
      <c r="Z131">
        <v>45</v>
      </c>
      <c r="AA131">
        <v>1665</v>
      </c>
      <c r="AC131" s="81" t="s">
        <v>1122</v>
      </c>
      <c r="AD131" s="81" t="s">
        <v>730</v>
      </c>
      <c r="AE131" s="81" t="s">
        <v>755</v>
      </c>
      <c r="AF131" s="81" t="s">
        <v>748</v>
      </c>
    </row>
    <row r="132" spans="2:32">
      <c r="B132" s="81" t="s">
        <v>756</v>
      </c>
      <c r="C132" s="81" t="s">
        <v>1034</v>
      </c>
      <c r="D132" s="81" t="s">
        <v>193</v>
      </c>
      <c r="E132" s="81" t="s">
        <v>759</v>
      </c>
      <c r="F132" s="81" t="s">
        <v>760</v>
      </c>
      <c r="G132" s="81" t="s">
        <v>633</v>
      </c>
      <c r="H132">
        <v>750</v>
      </c>
      <c r="I132">
        <v>200</v>
      </c>
      <c r="J132">
        <v>1850.3</v>
      </c>
      <c r="M132">
        <v>700</v>
      </c>
      <c r="W132" t="s">
        <v>335</v>
      </c>
      <c r="X132" t="s">
        <v>728</v>
      </c>
      <c r="Y132" t="s">
        <v>1101</v>
      </c>
      <c r="Z132">
        <v>47</v>
      </c>
      <c r="AA132">
        <v>1830</v>
      </c>
      <c r="AC132" s="81" t="s">
        <v>1182</v>
      </c>
      <c r="AD132" s="81" t="s">
        <v>762</v>
      </c>
      <c r="AE132" s="81"/>
      <c r="AF132" s="81" t="s">
        <v>763</v>
      </c>
    </row>
    <row r="133" spans="2:32">
      <c r="B133" s="81" t="s">
        <v>764</v>
      </c>
      <c r="C133" s="81" t="s">
        <v>1045</v>
      </c>
      <c r="D133" s="81" t="s">
        <v>193</v>
      </c>
      <c r="E133" s="81" t="s">
        <v>268</v>
      </c>
      <c r="F133" s="81" t="s">
        <v>263</v>
      </c>
      <c r="G133" s="81" t="s">
        <v>263</v>
      </c>
      <c r="H133">
        <v>1215</v>
      </c>
      <c r="I133">
        <v>195</v>
      </c>
      <c r="J133">
        <v>2020</v>
      </c>
      <c r="K133">
        <v>45.8</v>
      </c>
      <c r="L133">
        <v>55</v>
      </c>
      <c r="M133">
        <v>960</v>
      </c>
      <c r="O133">
        <v>800</v>
      </c>
      <c r="P133">
        <v>970</v>
      </c>
      <c r="Q133">
        <v>980</v>
      </c>
      <c r="R133">
        <v>680</v>
      </c>
      <c r="S133">
        <v>700</v>
      </c>
      <c r="V133">
        <v>2100</v>
      </c>
      <c r="AA133">
        <v>2000</v>
      </c>
      <c r="AC133" s="81" t="s">
        <v>1129</v>
      </c>
      <c r="AD133" s="81"/>
      <c r="AE133" s="81" t="s">
        <v>270</v>
      </c>
      <c r="AF133" s="81" t="s">
        <v>271</v>
      </c>
    </row>
    <row r="134" spans="2:32">
      <c r="B134" s="81" t="s">
        <v>765</v>
      </c>
      <c r="C134" s="81" t="s">
        <v>1047</v>
      </c>
      <c r="D134" s="81" t="s">
        <v>90</v>
      </c>
      <c r="E134" s="81" t="s">
        <v>281</v>
      </c>
      <c r="F134" s="81" t="s">
        <v>103</v>
      </c>
      <c r="G134" s="81" t="s">
        <v>103</v>
      </c>
      <c r="H134">
        <v>1225</v>
      </c>
      <c r="I134">
        <v>208</v>
      </c>
      <c r="J134">
        <v>1775</v>
      </c>
      <c r="K134">
        <v>38</v>
      </c>
      <c r="L134">
        <v>53</v>
      </c>
      <c r="M134">
        <v>897</v>
      </c>
      <c r="O134">
        <v>800</v>
      </c>
      <c r="P134">
        <v>960</v>
      </c>
      <c r="Q134">
        <v>980</v>
      </c>
      <c r="R134">
        <v>685</v>
      </c>
      <c r="S134">
        <v>700</v>
      </c>
      <c r="V134">
        <v>1770</v>
      </c>
      <c r="AA134">
        <v>1775</v>
      </c>
      <c r="AB134">
        <v>55.25</v>
      </c>
      <c r="AC134" s="81" t="s">
        <v>1131</v>
      </c>
      <c r="AD134" s="81"/>
      <c r="AE134" s="81" t="s">
        <v>283</v>
      </c>
      <c r="AF134" s="81" t="s">
        <v>284</v>
      </c>
    </row>
    <row r="135" spans="2:32">
      <c r="B135" s="81" t="s">
        <v>767</v>
      </c>
      <c r="C135" s="81" t="s">
        <v>1038</v>
      </c>
      <c r="D135" s="81" t="s">
        <v>193</v>
      </c>
      <c r="E135" s="81" t="s">
        <v>182</v>
      </c>
      <c r="F135" s="81" t="s">
        <v>790</v>
      </c>
      <c r="G135" s="81" t="s">
        <v>790</v>
      </c>
      <c r="H135">
        <v>870</v>
      </c>
      <c r="I135">
        <v>270</v>
      </c>
      <c r="J135">
        <v>1464.5</v>
      </c>
      <c r="K135">
        <v>26.4</v>
      </c>
      <c r="L135">
        <v>36</v>
      </c>
      <c r="M135">
        <v>560</v>
      </c>
      <c r="O135">
        <v>840</v>
      </c>
      <c r="P135">
        <v>965</v>
      </c>
      <c r="Q135">
        <v>980</v>
      </c>
      <c r="R135">
        <v>690</v>
      </c>
      <c r="S135">
        <v>700</v>
      </c>
      <c r="V135">
        <v>1470</v>
      </c>
      <c r="AA135">
        <v>1450</v>
      </c>
      <c r="AC135" s="81" t="s">
        <v>1118</v>
      </c>
      <c r="AD135" s="81" t="s">
        <v>172</v>
      </c>
      <c r="AE135" s="81" t="s">
        <v>184</v>
      </c>
      <c r="AF135" s="81"/>
    </row>
    <row r="136" spans="2:32">
      <c r="B136" s="81" t="s">
        <v>768</v>
      </c>
      <c r="C136" s="81" t="s">
        <v>1041</v>
      </c>
      <c r="D136" s="81" t="s">
        <v>193</v>
      </c>
      <c r="E136" s="81" t="s">
        <v>210</v>
      </c>
      <c r="F136" s="81" t="s">
        <v>790</v>
      </c>
      <c r="G136" s="81" t="s">
        <v>790</v>
      </c>
      <c r="H136">
        <v>1040</v>
      </c>
      <c r="I136">
        <v>230</v>
      </c>
      <c r="J136">
        <v>1415</v>
      </c>
      <c r="K136">
        <v>27</v>
      </c>
      <c r="L136">
        <v>36</v>
      </c>
      <c r="M136">
        <v>745</v>
      </c>
      <c r="O136">
        <v>800</v>
      </c>
      <c r="P136">
        <v>960</v>
      </c>
      <c r="Q136">
        <v>980</v>
      </c>
      <c r="R136">
        <v>680</v>
      </c>
      <c r="S136">
        <v>700</v>
      </c>
      <c r="V136">
        <v>1410</v>
      </c>
      <c r="AA136">
        <v>1400</v>
      </c>
      <c r="AC136" s="81" t="s">
        <v>1117</v>
      </c>
      <c r="AD136" s="81" t="s">
        <v>172</v>
      </c>
      <c r="AE136" s="81" t="s">
        <v>211</v>
      </c>
      <c r="AF136" s="81"/>
    </row>
    <row r="137" spans="2:32">
      <c r="B137" s="81" t="s">
        <v>769</v>
      </c>
      <c r="C137" s="81" t="s">
        <v>1035</v>
      </c>
      <c r="D137" s="81" t="s">
        <v>193</v>
      </c>
      <c r="E137" s="81" t="s">
        <v>168</v>
      </c>
      <c r="F137" s="81" t="s">
        <v>790</v>
      </c>
      <c r="G137" s="81" t="s">
        <v>790</v>
      </c>
      <c r="H137">
        <v>880</v>
      </c>
      <c r="I137">
        <v>245</v>
      </c>
      <c r="J137">
        <v>1794.75</v>
      </c>
      <c r="K137">
        <v>26</v>
      </c>
      <c r="L137">
        <v>36.6</v>
      </c>
      <c r="M137">
        <v>700</v>
      </c>
      <c r="O137">
        <v>680</v>
      </c>
      <c r="P137">
        <v>970</v>
      </c>
      <c r="Q137">
        <v>980</v>
      </c>
      <c r="R137">
        <v>700</v>
      </c>
      <c r="S137">
        <v>700</v>
      </c>
      <c r="V137">
        <v>1640</v>
      </c>
      <c r="AA137">
        <v>1775</v>
      </c>
      <c r="AC137" s="81" t="s">
        <v>1105</v>
      </c>
      <c r="AD137" s="81"/>
      <c r="AE137" s="81" t="s">
        <v>169</v>
      </c>
      <c r="AF137" s="81"/>
    </row>
    <row r="138" spans="2:32">
      <c r="B138" s="81" t="s">
        <v>770</v>
      </c>
      <c r="C138" s="81" t="s">
        <v>1036</v>
      </c>
      <c r="D138" s="81" t="s">
        <v>193</v>
      </c>
      <c r="E138" s="81" t="s">
        <v>168</v>
      </c>
      <c r="F138" s="81" t="s">
        <v>790</v>
      </c>
      <c r="G138" s="81" t="s">
        <v>790</v>
      </c>
      <c r="H138">
        <v>880</v>
      </c>
      <c r="I138">
        <v>245</v>
      </c>
      <c r="J138">
        <v>1794.75</v>
      </c>
      <c r="K138">
        <v>26</v>
      </c>
      <c r="L138">
        <v>36.6</v>
      </c>
      <c r="M138">
        <v>700</v>
      </c>
      <c r="O138">
        <v>680</v>
      </c>
      <c r="P138">
        <v>970</v>
      </c>
      <c r="Q138">
        <v>980</v>
      </c>
      <c r="R138">
        <v>700</v>
      </c>
      <c r="S138">
        <v>700</v>
      </c>
      <c r="V138">
        <v>1770</v>
      </c>
      <c r="AA138">
        <v>1775</v>
      </c>
      <c r="AC138" s="81" t="s">
        <v>1104</v>
      </c>
      <c r="AD138" s="81" t="s">
        <v>172</v>
      </c>
      <c r="AE138" s="81" t="s">
        <v>173</v>
      </c>
      <c r="AF138" s="81"/>
    </row>
    <row r="139" spans="2:32">
      <c r="B139" s="81" t="s">
        <v>771</v>
      </c>
      <c r="C139" s="81" t="s">
        <v>1083</v>
      </c>
      <c r="D139" s="81" t="s">
        <v>193</v>
      </c>
      <c r="E139" s="81" t="s">
        <v>774</v>
      </c>
      <c r="F139" s="81" t="s">
        <v>775</v>
      </c>
      <c r="G139" s="81" t="s">
        <v>633</v>
      </c>
      <c r="H139">
        <v>750</v>
      </c>
      <c r="I139">
        <v>321</v>
      </c>
      <c r="J139">
        <v>2135.1</v>
      </c>
      <c r="K139">
        <v>55</v>
      </c>
      <c r="L139">
        <v>32</v>
      </c>
      <c r="M139">
        <v>455</v>
      </c>
      <c r="O139">
        <v>790</v>
      </c>
      <c r="P139">
        <v>980</v>
      </c>
      <c r="Q139">
        <v>1020</v>
      </c>
      <c r="R139">
        <v>680</v>
      </c>
      <c r="S139">
        <v>700</v>
      </c>
      <c r="V139">
        <v>2110</v>
      </c>
      <c r="W139" t="s">
        <v>335</v>
      </c>
      <c r="X139" t="s">
        <v>686</v>
      </c>
      <c r="Y139" t="s">
        <v>1099</v>
      </c>
      <c r="Z139">
        <v>39</v>
      </c>
      <c r="AA139">
        <v>2110</v>
      </c>
      <c r="AC139" s="81" t="s">
        <v>1183</v>
      </c>
      <c r="AD139" s="81" t="s">
        <v>777</v>
      </c>
      <c r="AE139" s="81" t="s">
        <v>780</v>
      </c>
      <c r="AF139" s="81" t="s">
        <v>781</v>
      </c>
    </row>
    <row r="140" spans="2:32">
      <c r="B140" s="81" t="s">
        <v>782</v>
      </c>
      <c r="C140" s="81" t="s">
        <v>1049</v>
      </c>
      <c r="D140" s="81" t="s">
        <v>90</v>
      </c>
      <c r="E140" s="81" t="s">
        <v>302</v>
      </c>
      <c r="F140" s="81" t="s">
        <v>92</v>
      </c>
      <c r="G140" s="81" t="s">
        <v>92</v>
      </c>
      <c r="H140">
        <v>1230</v>
      </c>
      <c r="I140">
        <v>233</v>
      </c>
      <c r="J140">
        <v>2360</v>
      </c>
      <c r="K140">
        <v>50</v>
      </c>
      <c r="L140">
        <v>66</v>
      </c>
      <c r="M140">
        <v>963</v>
      </c>
      <c r="O140">
        <v>800</v>
      </c>
      <c r="P140">
        <v>940</v>
      </c>
      <c r="Q140">
        <v>980</v>
      </c>
      <c r="R140">
        <v>680</v>
      </c>
      <c r="S140">
        <v>700</v>
      </c>
      <c r="V140">
        <v>2390</v>
      </c>
      <c r="AA140">
        <v>2360</v>
      </c>
      <c r="AB140">
        <v>69.8</v>
      </c>
      <c r="AC140" s="81" t="s">
        <v>1133</v>
      </c>
      <c r="AD140" s="81"/>
      <c r="AE140" s="81" t="s">
        <v>304</v>
      </c>
      <c r="AF140" s="81" t="s">
        <v>305</v>
      </c>
    </row>
    <row r="141" spans="2:32">
      <c r="B141" s="81" t="s">
        <v>783</v>
      </c>
      <c r="C141" s="81" t="s">
        <v>1055</v>
      </c>
      <c r="D141" s="81" t="s">
        <v>193</v>
      </c>
      <c r="E141" s="81" t="s">
        <v>352</v>
      </c>
      <c r="F141" s="81" t="s">
        <v>92</v>
      </c>
      <c r="G141" s="81" t="s">
        <v>92</v>
      </c>
      <c r="H141">
        <v>1360</v>
      </c>
      <c r="I141">
        <v>176</v>
      </c>
      <c r="J141">
        <v>1515</v>
      </c>
      <c r="K141">
        <v>24</v>
      </c>
      <c r="L141">
        <v>36</v>
      </c>
      <c r="M141">
        <v>799</v>
      </c>
      <c r="O141">
        <v>800</v>
      </c>
      <c r="P141">
        <v>900</v>
      </c>
      <c r="Q141">
        <v>980</v>
      </c>
      <c r="R141">
        <v>680</v>
      </c>
      <c r="S141">
        <v>700</v>
      </c>
      <c r="V141">
        <v>1540</v>
      </c>
      <c r="AA141">
        <v>1500</v>
      </c>
      <c r="AC141" s="81" t="s">
        <v>1137</v>
      </c>
      <c r="AD141" s="81"/>
      <c r="AE141" s="81" t="s">
        <v>354</v>
      </c>
      <c r="AF141" s="81" t="s">
        <v>179</v>
      </c>
    </row>
    <row r="142" spans="2:32">
      <c r="B142" s="81" t="s">
        <v>784</v>
      </c>
      <c r="C142" s="81" t="s">
        <v>1084</v>
      </c>
      <c r="D142" s="81" t="s">
        <v>193</v>
      </c>
      <c r="E142" s="81" t="s">
        <v>786</v>
      </c>
      <c r="F142" s="81" t="s">
        <v>727</v>
      </c>
      <c r="G142" s="81" t="s">
        <v>633</v>
      </c>
      <c r="H142">
        <v>880</v>
      </c>
      <c r="I142">
        <v>230</v>
      </c>
      <c r="J142">
        <v>1669.55</v>
      </c>
      <c r="W142" t="s">
        <v>335</v>
      </c>
      <c r="X142" t="s">
        <v>787</v>
      </c>
      <c r="Y142" t="s">
        <v>1101</v>
      </c>
      <c r="Z142">
        <v>82</v>
      </c>
      <c r="AA142">
        <v>1655</v>
      </c>
      <c r="AC142" s="81"/>
      <c r="AD142" s="81"/>
      <c r="AE142" s="81"/>
      <c r="AF142" s="81" t="s">
        <v>788</v>
      </c>
    </row>
    <row r="143" spans="2:32">
      <c r="B143" s="81" t="s">
        <v>789</v>
      </c>
      <c r="C143" s="81" t="s">
        <v>1085</v>
      </c>
      <c r="D143" s="81" t="s">
        <v>193</v>
      </c>
      <c r="E143" s="81" t="s">
        <v>786</v>
      </c>
      <c r="F143" s="81"/>
      <c r="G143" s="81"/>
      <c r="J143">
        <v>2135.1</v>
      </c>
      <c r="M143">
        <v>455</v>
      </c>
      <c r="O143">
        <v>790</v>
      </c>
      <c r="P143">
        <v>980</v>
      </c>
      <c r="Q143">
        <v>1020</v>
      </c>
      <c r="R143">
        <v>680</v>
      </c>
      <c r="S143">
        <v>700</v>
      </c>
      <c r="V143">
        <v>2110</v>
      </c>
      <c r="W143" t="s">
        <v>335</v>
      </c>
      <c r="X143" t="s">
        <v>686</v>
      </c>
      <c r="Y143" t="s">
        <v>1099</v>
      </c>
      <c r="Z143">
        <v>39</v>
      </c>
      <c r="AA143">
        <v>2110</v>
      </c>
      <c r="AC143" s="81" t="s">
        <v>1183</v>
      </c>
      <c r="AD143" s="81" t="s">
        <v>777</v>
      </c>
      <c r="AE143" s="81"/>
      <c r="AF143" s="81" t="s">
        <v>781</v>
      </c>
    </row>
    <row r="144" spans="2:32">
      <c r="B144" s="82"/>
      <c r="C144" s="81"/>
      <c r="D144" s="81"/>
      <c r="E144" s="81"/>
      <c r="F144" s="81"/>
      <c r="G144" s="81"/>
      <c r="AC144" s="81"/>
      <c r="AD144" s="81"/>
      <c r="AE144" s="81"/>
      <c r="AF144" s="81"/>
    </row>
    <row r="145" spans="2:32">
      <c r="B145" s="81"/>
      <c r="C145" s="81"/>
      <c r="D145" s="81"/>
      <c r="E145" s="81"/>
      <c r="F145" s="81"/>
      <c r="G145" s="81"/>
      <c r="AC145" s="81"/>
      <c r="AD145" s="81"/>
      <c r="AE145" s="81"/>
      <c r="AF145" s="81"/>
    </row>
    <row r="146" spans="2:32">
      <c r="B146" s="82"/>
      <c r="C146" s="81"/>
      <c r="D146" s="81"/>
      <c r="E146" s="81"/>
      <c r="F146" s="81"/>
      <c r="G146" s="81"/>
      <c r="AC146" s="81"/>
      <c r="AD146" s="81"/>
      <c r="AE146" s="81"/>
      <c r="AF146" s="81"/>
    </row>
    <row r="147" spans="2:32">
      <c r="B147" s="81"/>
      <c r="C147" s="81"/>
      <c r="D147" s="81"/>
      <c r="E147" s="81"/>
      <c r="F147" s="81"/>
      <c r="G147" s="81"/>
      <c r="AC147" s="81"/>
      <c r="AD147" s="81"/>
      <c r="AE147" s="81"/>
      <c r="AF147" s="81"/>
    </row>
    <row r="148" spans="2:32">
      <c r="B148" s="81"/>
      <c r="C148" s="81"/>
      <c r="D148" s="81"/>
      <c r="E148" s="81"/>
      <c r="F148" s="81"/>
      <c r="G148" s="81"/>
      <c r="AC148" s="81"/>
      <c r="AD148" s="81"/>
      <c r="AE148" s="81"/>
      <c r="AF148" s="81"/>
    </row>
    <row r="149" spans="2:32">
      <c r="B149" s="81"/>
      <c r="C149" s="81"/>
      <c r="D149" s="81"/>
      <c r="E149" s="81"/>
      <c r="F149" s="81"/>
      <c r="G149" s="81"/>
      <c r="AC149" s="81"/>
      <c r="AD149" s="81"/>
      <c r="AE149" s="81"/>
      <c r="AF149" s="81"/>
    </row>
    <row r="150" spans="2:32">
      <c r="B150" s="81"/>
      <c r="C150" s="81"/>
      <c r="D150" s="81"/>
      <c r="E150" s="81"/>
      <c r="F150" s="81"/>
      <c r="G150" s="81"/>
      <c r="AC150" s="81"/>
      <c r="AD150" s="81"/>
      <c r="AE150" s="81"/>
      <c r="AF150" s="81"/>
    </row>
    <row r="151" spans="2:32">
      <c r="B151" s="81"/>
      <c r="C151" s="81"/>
      <c r="D151" s="81"/>
      <c r="E151" s="81"/>
      <c r="F151" s="81"/>
      <c r="G151" s="81"/>
      <c r="AC151" s="81"/>
      <c r="AD151" s="81"/>
      <c r="AE151" s="81"/>
      <c r="AF151" s="81"/>
    </row>
    <row r="152" spans="2:32">
      <c r="B152" s="81"/>
      <c r="C152" s="81"/>
      <c r="D152" s="81"/>
      <c r="E152" s="81"/>
      <c r="F152" s="81"/>
      <c r="G152" s="81"/>
      <c r="AC152" s="81"/>
      <c r="AD152" s="81"/>
      <c r="AE152" s="81"/>
      <c r="AF152" s="81"/>
    </row>
    <row r="153" spans="2:32">
      <c r="B153" s="81"/>
      <c r="C153" s="81"/>
      <c r="D153" s="81"/>
      <c r="E153" s="81"/>
      <c r="F153" s="81"/>
      <c r="G153" s="81"/>
      <c r="AC153" s="81"/>
      <c r="AD153" s="81"/>
      <c r="AE153" s="81"/>
      <c r="AF153" s="81"/>
    </row>
    <row r="154" spans="2:32">
      <c r="B154" s="81"/>
      <c r="C154" s="81"/>
      <c r="D154" s="81"/>
      <c r="E154" s="81"/>
      <c r="F154" s="81"/>
      <c r="G154" s="81"/>
      <c r="AC154" s="81"/>
      <c r="AD154" s="81"/>
      <c r="AE154" s="81"/>
      <c r="AF154" s="81"/>
    </row>
    <row r="155" spans="2:32">
      <c r="B155" s="81"/>
      <c r="C155" s="81"/>
      <c r="D155" s="81"/>
      <c r="E155" s="81"/>
      <c r="F155" s="81"/>
      <c r="G155" s="81"/>
      <c r="AC155" s="81"/>
      <c r="AD155" s="81"/>
      <c r="AE155" s="81"/>
      <c r="AF155" s="81"/>
    </row>
    <row r="156" spans="2:32">
      <c r="B156" s="81"/>
      <c r="C156" s="81"/>
      <c r="D156" s="81"/>
      <c r="E156" s="81"/>
      <c r="F156" s="81"/>
      <c r="G156" s="81"/>
      <c r="AC156" s="81"/>
      <c r="AD156" s="81"/>
      <c r="AE156" s="81"/>
      <c r="AF156" s="81"/>
    </row>
    <row r="157" spans="2:32">
      <c r="B157" s="81"/>
      <c r="C157" s="81"/>
      <c r="D157" s="81"/>
      <c r="E157" s="81"/>
      <c r="F157" s="81"/>
      <c r="G157" s="81"/>
      <c r="AC157" s="81"/>
      <c r="AD157" s="81"/>
      <c r="AE157" s="81"/>
      <c r="AF157" s="81"/>
    </row>
    <row r="158" spans="2:32">
      <c r="B158" s="81"/>
      <c r="C158" s="81"/>
      <c r="D158" s="81"/>
      <c r="E158" s="81"/>
      <c r="F158" s="81"/>
      <c r="G158" s="81"/>
      <c r="AC158" s="81"/>
      <c r="AD158" s="81"/>
      <c r="AE158" s="81"/>
      <c r="AF158" s="81"/>
    </row>
    <row r="159" spans="2:32">
      <c r="B159" s="81"/>
      <c r="C159" s="81"/>
      <c r="D159" s="81"/>
      <c r="E159" s="81"/>
      <c r="F159" s="81"/>
      <c r="G159" s="81"/>
      <c r="AC159" s="81"/>
      <c r="AD159" s="81"/>
      <c r="AE159" s="81"/>
      <c r="AF159" s="81"/>
    </row>
    <row r="160" spans="2:32">
      <c r="B160" s="81"/>
      <c r="C160" s="81"/>
      <c r="D160" s="81"/>
      <c r="E160" s="81"/>
      <c r="F160" s="81"/>
      <c r="G160" s="81"/>
      <c r="AC160" s="81"/>
      <c r="AD160" s="81"/>
      <c r="AE160" s="81"/>
      <c r="AF160" s="81"/>
    </row>
    <row r="161" spans="2:32">
      <c r="B161" s="81"/>
      <c r="C161" s="81"/>
      <c r="D161" s="81"/>
      <c r="E161" s="81"/>
      <c r="F161" s="81"/>
      <c r="G161" s="81"/>
      <c r="AC161" s="81"/>
      <c r="AD161" s="81"/>
      <c r="AE161" s="81"/>
      <c r="AF161" s="81"/>
    </row>
    <row r="162" spans="2:32">
      <c r="B162" s="81"/>
      <c r="C162" s="81"/>
      <c r="D162" s="81"/>
      <c r="E162" s="81"/>
      <c r="F162" s="81"/>
      <c r="G162" s="81"/>
      <c r="AC162" s="81"/>
      <c r="AD162" s="81"/>
      <c r="AE162" s="81"/>
      <c r="AF162" s="81"/>
    </row>
    <row r="163" spans="2:32">
      <c r="B163" s="81"/>
      <c r="C163" s="81"/>
      <c r="D163" s="81"/>
      <c r="E163" s="81"/>
      <c r="F163" s="81"/>
      <c r="G163" s="81"/>
      <c r="AC163" s="81"/>
      <c r="AD163" s="81"/>
      <c r="AE163" s="81"/>
      <c r="AF163" s="81"/>
    </row>
    <row r="164" spans="2:32">
      <c r="B164" s="81"/>
      <c r="C164" s="81"/>
      <c r="D164" s="81"/>
      <c r="E164" s="81"/>
      <c r="F164" s="81"/>
      <c r="G164" s="81"/>
      <c r="AC164" s="81"/>
      <c r="AD164" s="81"/>
      <c r="AE164" s="81"/>
      <c r="AF164" s="81"/>
    </row>
    <row r="165" spans="2:32">
      <c r="B165" s="81"/>
      <c r="C165" s="81"/>
      <c r="D165" s="81"/>
      <c r="E165" s="81"/>
      <c r="F165" s="81"/>
      <c r="G165" s="81"/>
      <c r="AC165" s="81"/>
      <c r="AD165" s="81"/>
      <c r="AE165" s="81"/>
      <c r="AF165" s="81"/>
    </row>
    <row r="166" spans="2:32">
      <c r="B166" s="81"/>
      <c r="C166" s="81"/>
      <c r="D166" s="81"/>
      <c r="E166" s="81"/>
      <c r="F166" s="81"/>
      <c r="G166" s="81"/>
      <c r="AC166" s="81"/>
      <c r="AD166" s="81"/>
      <c r="AE166" s="81"/>
      <c r="AF166" s="81"/>
    </row>
    <row r="167" spans="2:32">
      <c r="B167" s="81"/>
      <c r="C167" s="81"/>
      <c r="D167" s="81"/>
      <c r="E167" s="81"/>
      <c r="F167" s="81"/>
      <c r="G167" s="81"/>
      <c r="AC167" s="81"/>
      <c r="AD167" s="81"/>
      <c r="AE167" s="81"/>
      <c r="AF167" s="81"/>
    </row>
    <row r="168" spans="2:32">
      <c r="B168" s="81"/>
      <c r="C168" s="81"/>
      <c r="D168" s="81"/>
      <c r="E168" s="81"/>
      <c r="F168" s="81"/>
      <c r="G168" s="81"/>
      <c r="AC168" s="81"/>
      <c r="AD168" s="81"/>
      <c r="AE168" s="81"/>
      <c r="AF168" s="81"/>
    </row>
    <row r="169" spans="2:32">
      <c r="B169" s="81"/>
      <c r="C169" s="81"/>
      <c r="D169" s="81"/>
      <c r="E169" s="81"/>
      <c r="F169" s="81"/>
      <c r="G169" s="81"/>
      <c r="AC169" s="81"/>
      <c r="AD169" s="81"/>
      <c r="AE169" s="81"/>
      <c r="AF169" s="81"/>
    </row>
    <row r="170" spans="2:32">
      <c r="B170" s="81"/>
      <c r="C170" s="81"/>
      <c r="D170" s="81"/>
      <c r="E170" s="81"/>
      <c r="F170" s="81"/>
      <c r="G170" s="81"/>
      <c r="AC170" s="81"/>
      <c r="AD170" s="81"/>
      <c r="AE170" s="81"/>
      <c r="AF170" s="81"/>
    </row>
    <row r="171" spans="2:32">
      <c r="B171" s="81"/>
      <c r="C171" s="81"/>
      <c r="D171" s="81"/>
      <c r="E171" s="81"/>
      <c r="F171" s="81"/>
      <c r="G171" s="81"/>
      <c r="AC171" s="81"/>
      <c r="AD171" s="81"/>
      <c r="AE171" s="81"/>
      <c r="AF171" s="81"/>
    </row>
    <row r="172" spans="2:32">
      <c r="B172" s="81"/>
      <c r="C172" s="81"/>
      <c r="D172" s="81"/>
      <c r="E172" s="81"/>
      <c r="F172" s="81"/>
      <c r="G172" s="81"/>
      <c r="AC172" s="81"/>
      <c r="AD172" s="81"/>
      <c r="AE172" s="81"/>
      <c r="AF172" s="81"/>
    </row>
    <row r="173" spans="2:32">
      <c r="B173" s="81"/>
      <c r="C173" s="81"/>
      <c r="D173" s="81"/>
      <c r="E173" s="81"/>
      <c r="F173" s="81"/>
      <c r="G173" s="81"/>
      <c r="AC173" s="81"/>
      <c r="AD173" s="81"/>
      <c r="AE173" s="81"/>
      <c r="AF173" s="81"/>
    </row>
    <row r="174" spans="2:32">
      <c r="B174" s="81"/>
      <c r="C174" s="81"/>
      <c r="D174" s="81"/>
      <c r="E174" s="81"/>
      <c r="F174" s="81"/>
      <c r="G174" s="81"/>
      <c r="AC174" s="81"/>
      <c r="AD174" s="81"/>
      <c r="AE174" s="81"/>
      <c r="AF174" s="81"/>
    </row>
    <row r="175" spans="2:32">
      <c r="B175" s="81"/>
      <c r="C175" s="81"/>
      <c r="D175" s="81"/>
      <c r="E175" s="81"/>
      <c r="F175" s="81"/>
      <c r="G175" s="81"/>
      <c r="AC175" s="81"/>
      <c r="AD175" s="81"/>
      <c r="AE175" s="81"/>
      <c r="AF175" s="81"/>
    </row>
    <row r="176" spans="2:32">
      <c r="B176" s="81"/>
      <c r="C176" s="81"/>
      <c r="D176" s="81"/>
      <c r="E176" s="81"/>
      <c r="F176" s="81"/>
      <c r="G176" s="81"/>
      <c r="AC176" s="81"/>
      <c r="AD176" s="81"/>
      <c r="AE176" s="81"/>
      <c r="AF176" s="81"/>
    </row>
    <row r="177" spans="2:32">
      <c r="B177" s="81"/>
      <c r="C177" s="81"/>
      <c r="D177" s="81"/>
      <c r="E177" s="81"/>
      <c r="F177" s="81"/>
      <c r="G177" s="81"/>
      <c r="AC177" s="81"/>
      <c r="AD177" s="81"/>
      <c r="AE177" s="81"/>
      <c r="AF177" s="81"/>
    </row>
    <row r="178" spans="2:32">
      <c r="B178" s="81"/>
      <c r="C178" s="81"/>
      <c r="D178" s="81"/>
      <c r="E178" s="81"/>
      <c r="F178" s="81"/>
      <c r="G178" s="81"/>
      <c r="AC178" s="81"/>
      <c r="AD178" s="81"/>
      <c r="AE178" s="81"/>
      <c r="AF178" s="81"/>
    </row>
    <row r="179" spans="2:32">
      <c r="B179" s="81"/>
      <c r="C179" s="81"/>
      <c r="D179" s="81"/>
      <c r="E179" s="81"/>
      <c r="F179" s="81"/>
      <c r="G179" s="81"/>
      <c r="AC179" s="81"/>
      <c r="AD179" s="81"/>
      <c r="AE179" s="81"/>
      <c r="AF179" s="81"/>
    </row>
    <row r="180" spans="2:32">
      <c r="B180" s="81"/>
      <c r="C180" s="81"/>
      <c r="D180" s="81"/>
      <c r="E180" s="81"/>
      <c r="F180" s="81"/>
      <c r="G180" s="81"/>
      <c r="AC180" s="81"/>
      <c r="AD180" s="81"/>
      <c r="AE180" s="81"/>
      <c r="AF180" s="81"/>
    </row>
    <row r="181" spans="2:32">
      <c r="B181" s="81"/>
      <c r="C181" s="81"/>
      <c r="D181" s="81"/>
      <c r="E181" s="81"/>
      <c r="F181" s="81"/>
      <c r="G181" s="81"/>
      <c r="AC181" s="81"/>
      <c r="AD181" s="81"/>
      <c r="AE181" s="81"/>
      <c r="AF181" s="81"/>
    </row>
    <row r="182" spans="2:32">
      <c r="B182" s="81"/>
      <c r="C182" s="81"/>
      <c r="D182" s="81"/>
      <c r="E182" s="81"/>
      <c r="F182" s="81"/>
      <c r="G182" s="81"/>
      <c r="AC182" s="81"/>
      <c r="AD182" s="81"/>
      <c r="AE182" s="81"/>
      <c r="AF182" s="81"/>
    </row>
    <row r="183" spans="2:32">
      <c r="B183" s="81"/>
      <c r="C183" s="81"/>
      <c r="D183" s="81"/>
      <c r="E183" s="81"/>
      <c r="F183" s="81"/>
      <c r="G183" s="81"/>
      <c r="AC183" s="81"/>
      <c r="AD183" s="81"/>
      <c r="AE183" s="81"/>
      <c r="AF183" s="81"/>
    </row>
    <row r="184" spans="2:32">
      <c r="B184" s="81"/>
      <c r="C184" s="81"/>
      <c r="D184" s="81"/>
      <c r="E184" s="81"/>
      <c r="F184" s="81"/>
      <c r="G184" s="81"/>
      <c r="AC184" s="81"/>
      <c r="AD184" s="81"/>
      <c r="AE184" s="81"/>
      <c r="AF184" s="81"/>
    </row>
    <row r="185" spans="2:32">
      <c r="B185" s="81"/>
      <c r="C185" s="81"/>
      <c r="D185" s="81"/>
      <c r="E185" s="81"/>
      <c r="F185" s="81"/>
      <c r="G185" s="81"/>
      <c r="AC185" s="81"/>
      <c r="AD185" s="81"/>
      <c r="AE185" s="81"/>
      <c r="AF185" s="81"/>
    </row>
    <row r="186" spans="2:32">
      <c r="B186" s="81"/>
      <c r="C186" s="81"/>
      <c r="D186" s="81"/>
      <c r="E186" s="81"/>
      <c r="F186" s="81"/>
      <c r="G186" s="81"/>
      <c r="AC186" s="81"/>
      <c r="AD186" s="81"/>
      <c r="AE186" s="81"/>
      <c r="AF186" s="81"/>
    </row>
    <row r="187" spans="2:32">
      <c r="B187" s="81"/>
      <c r="C187" s="81"/>
      <c r="D187" s="81"/>
      <c r="E187" s="81"/>
      <c r="F187" s="81"/>
      <c r="G187" s="81"/>
      <c r="AC187" s="81"/>
      <c r="AD187" s="81"/>
      <c r="AE187" s="81"/>
      <c r="AF187" s="81"/>
    </row>
    <row r="188" spans="2:32">
      <c r="B188" s="81"/>
      <c r="C188" s="81"/>
      <c r="D188" s="81"/>
      <c r="E188" s="81"/>
      <c r="F188" s="81"/>
      <c r="G188" s="81"/>
      <c r="AC188" s="81"/>
      <c r="AD188" s="81"/>
      <c r="AE188" s="81"/>
      <c r="AF188" s="81"/>
    </row>
    <row r="189" spans="2:32">
      <c r="B189" s="81"/>
      <c r="C189" s="81"/>
      <c r="D189" s="81"/>
      <c r="E189" s="81"/>
      <c r="F189" s="81"/>
      <c r="G189" s="81"/>
      <c r="AC189" s="81"/>
      <c r="AD189" s="81"/>
      <c r="AE189" s="81"/>
      <c r="AF189" s="81"/>
    </row>
    <row r="190" spans="2:32">
      <c r="B190" s="81"/>
      <c r="C190" s="81"/>
      <c r="D190" s="81"/>
      <c r="E190" s="81"/>
      <c r="F190" s="81"/>
      <c r="G190" s="81"/>
      <c r="AC190" s="81"/>
      <c r="AD190" s="81"/>
      <c r="AE190" s="81"/>
      <c r="AF190" s="81"/>
    </row>
    <row r="191" spans="2:32">
      <c r="B191" s="81"/>
      <c r="C191" s="81"/>
      <c r="D191" s="81"/>
      <c r="E191" s="81"/>
      <c r="F191" s="81"/>
      <c r="G191" s="81"/>
      <c r="AC191" s="81"/>
      <c r="AD191" s="81"/>
      <c r="AE191" s="81"/>
      <c r="AF191" s="81"/>
    </row>
    <row r="192" spans="2:32">
      <c r="B192" s="81"/>
      <c r="C192" s="81"/>
      <c r="D192" s="81"/>
      <c r="E192" s="81"/>
      <c r="F192" s="81"/>
      <c r="G192" s="81"/>
      <c r="AC192" s="81"/>
      <c r="AD192" s="81"/>
      <c r="AE192" s="81"/>
      <c r="AF192" s="81"/>
    </row>
    <row r="193" spans="2:32">
      <c r="B193" s="81"/>
      <c r="C193" s="81"/>
      <c r="D193" s="81"/>
      <c r="E193" s="81"/>
      <c r="F193" s="81"/>
      <c r="G193" s="81"/>
      <c r="AC193" s="81"/>
      <c r="AD193" s="81"/>
      <c r="AE193" s="81"/>
      <c r="AF193" s="81"/>
    </row>
    <row r="194" spans="2:32">
      <c r="B194" s="81"/>
      <c r="C194" s="81"/>
      <c r="D194" s="81"/>
      <c r="E194" s="81"/>
      <c r="F194" s="81"/>
      <c r="G194" s="81"/>
      <c r="AC194" s="81"/>
      <c r="AD194" s="81"/>
      <c r="AE194" s="81"/>
      <c r="AF194" s="81"/>
    </row>
    <row r="195" spans="2:32">
      <c r="B195" s="81"/>
      <c r="C195" s="81"/>
      <c r="D195" s="81"/>
      <c r="E195" s="81"/>
      <c r="F195" s="81"/>
      <c r="G195" s="81"/>
      <c r="AC195" s="81"/>
      <c r="AD195" s="81"/>
      <c r="AE195" s="81"/>
      <c r="AF195" s="81"/>
    </row>
    <row r="196" spans="2:32">
      <c r="B196" s="81"/>
      <c r="C196" s="81"/>
      <c r="D196" s="81"/>
      <c r="E196" s="81"/>
      <c r="F196" s="81"/>
      <c r="G196" s="81"/>
      <c r="AC196" s="81"/>
      <c r="AD196" s="81"/>
      <c r="AE196" s="81"/>
      <c r="AF196" s="81"/>
    </row>
    <row r="197" spans="2:32">
      <c r="B197" s="81"/>
      <c r="C197" s="81"/>
      <c r="D197" s="81"/>
      <c r="E197" s="81"/>
      <c r="F197" s="81"/>
      <c r="G197" s="81"/>
      <c r="AC197" s="81"/>
      <c r="AD197" s="81"/>
      <c r="AE197" s="81"/>
      <c r="AF197" s="81"/>
    </row>
    <row r="198" spans="2:32">
      <c r="B198" s="81"/>
      <c r="C198" s="81"/>
      <c r="D198" s="81"/>
      <c r="E198" s="81"/>
      <c r="F198" s="81"/>
      <c r="G198" s="81"/>
      <c r="AC198" s="81"/>
      <c r="AD198" s="81"/>
      <c r="AE198" s="81"/>
      <c r="AF198" s="81"/>
    </row>
    <row r="199" spans="2:32">
      <c r="B199" s="81"/>
      <c r="C199" s="81"/>
      <c r="D199" s="81"/>
      <c r="E199" s="81"/>
      <c r="F199" s="81"/>
      <c r="G199" s="81"/>
      <c r="AC199" s="81"/>
      <c r="AD199" s="81"/>
      <c r="AE199" s="81"/>
      <c r="AF199" s="81"/>
    </row>
    <row r="200" spans="2:32">
      <c r="B200" s="81"/>
      <c r="C200" s="81"/>
      <c r="D200" s="81"/>
      <c r="E200" s="81"/>
      <c r="F200" s="81"/>
      <c r="G200" s="81"/>
      <c r="AC200" s="81"/>
      <c r="AD200" s="81"/>
      <c r="AE200" s="81"/>
      <c r="AF200" s="81"/>
    </row>
    <row r="201" spans="2:32">
      <c r="B201" s="81"/>
      <c r="C201" s="81"/>
      <c r="D201" s="81"/>
      <c r="E201" s="81"/>
      <c r="F201" s="81"/>
      <c r="G201" s="81"/>
      <c r="AC201" s="81"/>
      <c r="AD201" s="81"/>
      <c r="AE201" s="81"/>
      <c r="AF201" s="81"/>
    </row>
    <row r="202" spans="2:32">
      <c r="B202" s="81"/>
      <c r="C202" s="81"/>
      <c r="D202" s="81"/>
      <c r="E202" s="81"/>
      <c r="F202" s="81"/>
      <c r="G202" s="81"/>
      <c r="AC202" s="81"/>
      <c r="AD202" s="81"/>
      <c r="AE202" s="81"/>
      <c r="AF202" s="81"/>
    </row>
    <row r="203" spans="2:32">
      <c r="B203" s="81"/>
      <c r="C203" s="81"/>
      <c r="D203" s="81"/>
      <c r="E203" s="81"/>
      <c r="F203" s="81"/>
      <c r="G203" s="81"/>
      <c r="AC203" s="81"/>
      <c r="AD203" s="81"/>
      <c r="AE203" s="81"/>
      <c r="AF203" s="81"/>
    </row>
    <row r="204" spans="2:32">
      <c r="B204" s="81"/>
      <c r="C204" s="81"/>
      <c r="D204" s="81"/>
      <c r="E204" s="81"/>
      <c r="F204" s="81"/>
      <c r="G204" s="81"/>
      <c r="AC204" s="81"/>
      <c r="AD204" s="81"/>
      <c r="AE204" s="81"/>
      <c r="AF204" s="81"/>
    </row>
    <row r="205" spans="2:32">
      <c r="B205" s="81"/>
      <c r="C205" s="81"/>
      <c r="D205" s="81"/>
      <c r="E205" s="81"/>
      <c r="F205" s="81"/>
      <c r="G205" s="81"/>
      <c r="AC205" s="81"/>
      <c r="AD205" s="81"/>
      <c r="AE205" s="81"/>
      <c r="AF205" s="81"/>
    </row>
    <row r="206" spans="2:32">
      <c r="B206" s="81"/>
      <c r="C206" s="81"/>
      <c r="D206" s="81"/>
      <c r="E206" s="81"/>
      <c r="F206" s="81"/>
      <c r="G206" s="81"/>
      <c r="AC206" s="81"/>
      <c r="AD206" s="81"/>
      <c r="AE206" s="81"/>
      <c r="AF206" s="81"/>
    </row>
    <row r="207" spans="2:32">
      <c r="B207" s="81"/>
      <c r="C207" s="81"/>
      <c r="D207" s="81"/>
      <c r="E207" s="81"/>
      <c r="F207" s="81"/>
      <c r="G207" s="81"/>
      <c r="AC207" s="81"/>
      <c r="AD207" s="81"/>
      <c r="AE207" s="81"/>
      <c r="AF207" s="81"/>
    </row>
    <row r="208" spans="2:32">
      <c r="B208" s="81"/>
      <c r="C208" s="81"/>
      <c r="D208" s="81"/>
      <c r="E208" s="81"/>
      <c r="F208" s="81"/>
      <c r="G208" s="81"/>
      <c r="AC208" s="81"/>
      <c r="AD208" s="81"/>
      <c r="AE208" s="81"/>
      <c r="AF208" s="81"/>
    </row>
    <row r="209" spans="2:32">
      <c r="B209" s="81"/>
      <c r="C209" s="81"/>
      <c r="D209" s="81"/>
      <c r="E209" s="81"/>
      <c r="F209" s="81"/>
      <c r="G209" s="81"/>
      <c r="AC209" s="81"/>
      <c r="AD209" s="81"/>
      <c r="AE209" s="81"/>
      <c r="AF209" s="81"/>
    </row>
    <row r="210" spans="2:32">
      <c r="B210" s="81"/>
      <c r="C210" s="81"/>
      <c r="D210" s="81"/>
      <c r="E210" s="81"/>
      <c r="F210" s="81"/>
      <c r="G210" s="81"/>
      <c r="AC210" s="81"/>
      <c r="AD210" s="81"/>
      <c r="AE210" s="81"/>
      <c r="AF210" s="81"/>
    </row>
    <row r="211" spans="2:32">
      <c r="B211" s="81"/>
      <c r="C211" s="81"/>
      <c r="D211" s="81"/>
      <c r="E211" s="81"/>
      <c r="F211" s="81"/>
      <c r="G211" s="81"/>
      <c r="AC211" s="81"/>
      <c r="AD211" s="81"/>
      <c r="AE211" s="81"/>
      <c r="AF211" s="81"/>
    </row>
    <row r="212" spans="2:32">
      <c r="B212" s="81"/>
      <c r="C212" s="81"/>
      <c r="D212" s="81"/>
      <c r="E212" s="81"/>
      <c r="F212" s="81"/>
      <c r="G212" s="81"/>
      <c r="AC212" s="81"/>
      <c r="AD212" s="81"/>
      <c r="AE212" s="81"/>
      <c r="AF212" s="81"/>
    </row>
    <row r="213" spans="2:32">
      <c r="B213" s="81"/>
      <c r="C213" s="81"/>
      <c r="D213" s="81"/>
      <c r="E213" s="81"/>
      <c r="F213" s="81"/>
      <c r="G213" s="81"/>
      <c r="AC213" s="81"/>
      <c r="AD213" s="81"/>
      <c r="AE213" s="81"/>
      <c r="AF213" s="81"/>
    </row>
    <row r="214" spans="2:32">
      <c r="B214" s="81"/>
      <c r="C214" s="81"/>
      <c r="D214" s="81"/>
      <c r="E214" s="81"/>
      <c r="F214" s="81"/>
      <c r="G214" s="81"/>
      <c r="AC214" s="81"/>
      <c r="AD214" s="81"/>
      <c r="AE214" s="81"/>
      <c r="AF214" s="81"/>
    </row>
    <row r="215" spans="2:32">
      <c r="B215" s="81"/>
      <c r="C215" s="81"/>
      <c r="D215" s="81"/>
      <c r="E215" s="81"/>
      <c r="F215" s="81"/>
      <c r="G215" s="81"/>
      <c r="AC215" s="81"/>
      <c r="AD215" s="81"/>
      <c r="AE215" s="81"/>
      <c r="AF215" s="81"/>
    </row>
    <row r="216" spans="2:32">
      <c r="B216" s="81"/>
      <c r="C216" s="81"/>
      <c r="D216" s="81"/>
      <c r="E216" s="81"/>
      <c r="F216" s="81"/>
      <c r="G216" s="81"/>
      <c r="AC216" s="81"/>
      <c r="AD216" s="81"/>
      <c r="AE216" s="81"/>
      <c r="AF216" s="81"/>
    </row>
    <row r="217" spans="2:32">
      <c r="B217" s="81"/>
      <c r="C217" s="81"/>
      <c r="D217" s="81"/>
      <c r="E217" s="81"/>
      <c r="F217" s="81"/>
      <c r="G217" s="81"/>
      <c r="AC217" s="81"/>
      <c r="AD217" s="81"/>
      <c r="AE217" s="81"/>
      <c r="AF217" s="81"/>
    </row>
    <row r="218" spans="2:32">
      <c r="B218" s="81"/>
      <c r="C218" s="81"/>
      <c r="D218" s="81"/>
      <c r="E218" s="81"/>
      <c r="F218" s="81"/>
      <c r="G218" s="81"/>
      <c r="AC218" s="81"/>
      <c r="AD218" s="81"/>
      <c r="AE218" s="81"/>
      <c r="AF218" s="81"/>
    </row>
    <row r="219" spans="2:32">
      <c r="B219" s="81"/>
      <c r="C219" s="81"/>
      <c r="D219" s="81"/>
      <c r="E219" s="81"/>
      <c r="F219" s="81"/>
      <c r="G219" s="81"/>
      <c r="AC219" s="81"/>
      <c r="AD219" s="81"/>
      <c r="AE219" s="81"/>
      <c r="AF219" s="81"/>
    </row>
    <row r="220" spans="2:32">
      <c r="B220" s="81"/>
      <c r="C220" s="81"/>
      <c r="D220" s="81"/>
      <c r="E220" s="81"/>
      <c r="F220" s="81"/>
      <c r="G220" s="81"/>
      <c r="AC220" s="81"/>
      <c r="AD220" s="81"/>
      <c r="AE220" s="81"/>
      <c r="AF220" s="81"/>
    </row>
    <row r="221" spans="2:32">
      <c r="B221" s="81"/>
      <c r="C221" s="81"/>
      <c r="D221" s="81"/>
      <c r="E221" s="81"/>
      <c r="F221" s="81"/>
      <c r="G221" s="81"/>
      <c r="AC221" s="81"/>
      <c r="AD221" s="81"/>
      <c r="AE221" s="81"/>
      <c r="AF221" s="81"/>
    </row>
    <row r="222" spans="2:32">
      <c r="B222" s="81"/>
      <c r="C222" s="81"/>
      <c r="D222" s="81"/>
      <c r="E222" s="81"/>
      <c r="F222" s="81"/>
      <c r="G222" s="81"/>
      <c r="AC222" s="81"/>
      <c r="AD222" s="81"/>
      <c r="AE222" s="81"/>
      <c r="AF222" s="81"/>
    </row>
    <row r="223" spans="2:32">
      <c r="B223" s="81"/>
      <c r="C223" s="81"/>
      <c r="D223" s="81"/>
      <c r="E223" s="81"/>
      <c r="F223" s="81"/>
      <c r="G223" s="81"/>
      <c r="AC223" s="81"/>
      <c r="AD223" s="81"/>
      <c r="AE223" s="81"/>
      <c r="AF223" s="81"/>
    </row>
    <row r="224" spans="2:32">
      <c r="B224" s="81"/>
      <c r="C224" s="81"/>
      <c r="D224" s="81"/>
      <c r="E224" s="81"/>
      <c r="F224" s="81"/>
      <c r="G224" s="81"/>
      <c r="AC224" s="81"/>
      <c r="AD224" s="81"/>
      <c r="AE224" s="81"/>
      <c r="AF224" s="81"/>
    </row>
    <row r="225" spans="2:32">
      <c r="B225" s="81"/>
      <c r="C225" s="81"/>
      <c r="D225" s="81"/>
      <c r="E225" s="81"/>
      <c r="F225" s="81"/>
      <c r="G225" s="81"/>
      <c r="AC225" s="81"/>
      <c r="AD225" s="81"/>
      <c r="AE225" s="81"/>
      <c r="AF225" s="81"/>
    </row>
    <row r="226" spans="2:32">
      <c r="B226" s="81"/>
      <c r="C226" s="81"/>
      <c r="D226" s="81"/>
      <c r="E226" s="81"/>
      <c r="F226" s="81"/>
      <c r="G226" s="81"/>
      <c r="AC226" s="81"/>
      <c r="AD226" s="81"/>
      <c r="AE226" s="81"/>
      <c r="AF226" s="81"/>
    </row>
    <row r="227" spans="2:32">
      <c r="B227" s="81"/>
      <c r="C227" s="81"/>
      <c r="D227" s="81"/>
      <c r="E227" s="81"/>
      <c r="F227" s="81"/>
      <c r="G227" s="81"/>
      <c r="AC227" s="81"/>
      <c r="AD227" s="81"/>
      <c r="AE227" s="81"/>
      <c r="AF227" s="81"/>
    </row>
    <row r="228" spans="2:32">
      <c r="B228" s="81"/>
      <c r="C228" s="81"/>
      <c r="D228" s="81"/>
      <c r="E228" s="81"/>
      <c r="F228" s="81"/>
      <c r="G228" s="81"/>
      <c r="AC228" s="81"/>
      <c r="AD228" s="81"/>
      <c r="AE228" s="81"/>
      <c r="AF228" s="81"/>
    </row>
    <row r="229" spans="2:32">
      <c r="B229" s="81"/>
      <c r="C229" s="81"/>
      <c r="D229" s="81"/>
      <c r="E229" s="81"/>
      <c r="F229" s="81"/>
      <c r="G229" s="81"/>
      <c r="AC229" s="81"/>
      <c r="AD229" s="81"/>
      <c r="AE229" s="81"/>
      <c r="AF229" s="81"/>
    </row>
    <row r="230" spans="2:32">
      <c r="B230" s="81"/>
      <c r="C230" s="81"/>
      <c r="D230" s="81"/>
      <c r="E230" s="81"/>
      <c r="F230" s="81"/>
      <c r="G230" s="81"/>
      <c r="AC230" s="81"/>
      <c r="AD230" s="81"/>
      <c r="AE230" s="81"/>
      <c r="AF230" s="81"/>
    </row>
    <row r="231" spans="2:32">
      <c r="B231" s="81"/>
      <c r="C231" s="81"/>
      <c r="D231" s="81"/>
      <c r="E231" s="81"/>
      <c r="F231" s="81"/>
      <c r="G231" s="81"/>
      <c r="AC231" s="81"/>
      <c r="AD231" s="81"/>
      <c r="AE231" s="81"/>
      <c r="AF231" s="81"/>
    </row>
    <row r="232" spans="2:32">
      <c r="B232" s="81"/>
      <c r="C232" s="81"/>
      <c r="D232" s="81"/>
      <c r="E232" s="81"/>
      <c r="F232" s="81"/>
      <c r="G232" s="81"/>
      <c r="AC232" s="81"/>
      <c r="AD232" s="81"/>
      <c r="AE232" s="81"/>
      <c r="AF232" s="81"/>
    </row>
    <row r="233" spans="2:32">
      <c r="B233" s="81"/>
      <c r="C233" s="81"/>
      <c r="D233" s="81"/>
      <c r="E233" s="81"/>
      <c r="F233" s="81"/>
      <c r="G233" s="81"/>
      <c r="AC233" s="81"/>
      <c r="AD233" s="81"/>
      <c r="AE233" s="81"/>
      <c r="AF233" s="81"/>
    </row>
    <row r="234" spans="2:32">
      <c r="B234" s="81"/>
      <c r="C234" s="81"/>
      <c r="D234" s="81"/>
      <c r="E234" s="81"/>
      <c r="F234" s="81"/>
      <c r="G234" s="81"/>
      <c r="AC234" s="81"/>
      <c r="AD234" s="81"/>
      <c r="AE234" s="81"/>
      <c r="AF234" s="81"/>
    </row>
    <row r="235" spans="2:32">
      <c r="B235" s="81"/>
      <c r="C235" s="81"/>
      <c r="D235" s="81"/>
      <c r="E235" s="81"/>
      <c r="F235" s="81"/>
      <c r="G235" s="81"/>
      <c r="AC235" s="81"/>
      <c r="AD235" s="81"/>
      <c r="AE235" s="81"/>
      <c r="AF235" s="81"/>
    </row>
    <row r="236" spans="2:32">
      <c r="B236" s="81"/>
      <c r="C236" s="81"/>
      <c r="D236" s="81"/>
      <c r="E236" s="81"/>
      <c r="F236" s="81"/>
      <c r="G236" s="81"/>
      <c r="AC236" s="81"/>
      <c r="AD236" s="81"/>
      <c r="AE236" s="81"/>
      <c r="AF236" s="81"/>
    </row>
    <row r="237" spans="2:32">
      <c r="B237" s="81"/>
      <c r="C237" s="81"/>
      <c r="D237" s="81"/>
      <c r="E237" s="81"/>
      <c r="F237" s="81"/>
      <c r="G237" s="81"/>
      <c r="AC237" s="81"/>
      <c r="AD237" s="81"/>
      <c r="AE237" s="81"/>
      <c r="AF237" s="81"/>
    </row>
    <row r="238" spans="2:32">
      <c r="B238" s="81"/>
      <c r="C238" s="81"/>
      <c r="D238" s="81"/>
      <c r="E238" s="81"/>
      <c r="F238" s="81"/>
      <c r="G238" s="81"/>
      <c r="AC238" s="81"/>
      <c r="AD238" s="81"/>
      <c r="AE238" s="81"/>
      <c r="AF238" s="81"/>
    </row>
    <row r="239" spans="2:32">
      <c r="B239" s="81"/>
      <c r="C239" s="81"/>
      <c r="D239" s="81"/>
      <c r="E239" s="81"/>
      <c r="F239" s="81"/>
      <c r="G239" s="81"/>
      <c r="AC239" s="81"/>
      <c r="AD239" s="81"/>
      <c r="AE239" s="81"/>
      <c r="AF239" s="81"/>
    </row>
    <row r="240" spans="2:32">
      <c r="B240" s="81"/>
      <c r="C240" s="81"/>
      <c r="D240" s="81"/>
      <c r="E240" s="81"/>
      <c r="F240" s="81"/>
      <c r="G240" s="81"/>
      <c r="AC240" s="81"/>
      <c r="AD240" s="81"/>
      <c r="AE240" s="81"/>
      <c r="AF240" s="81"/>
    </row>
    <row r="241" spans="2:32">
      <c r="B241" s="81"/>
      <c r="C241" s="81"/>
      <c r="D241" s="81"/>
      <c r="E241" s="81"/>
      <c r="F241" s="81"/>
      <c r="G241" s="81"/>
      <c r="AC241" s="81"/>
      <c r="AD241" s="81"/>
      <c r="AE241" s="81"/>
      <c r="AF241" s="81"/>
    </row>
    <row r="242" spans="2:32">
      <c r="B242" s="81"/>
      <c r="C242" s="81"/>
      <c r="D242" s="81"/>
      <c r="E242" s="81"/>
      <c r="F242" s="81"/>
      <c r="G242" s="81"/>
      <c r="AC242" s="81"/>
      <c r="AD242" s="81"/>
      <c r="AE242" s="81"/>
      <c r="AF242" s="81"/>
    </row>
    <row r="243" spans="2:32">
      <c r="B243" s="81"/>
      <c r="C243" s="81"/>
      <c r="D243" s="81"/>
      <c r="E243" s="81"/>
      <c r="F243" s="81"/>
      <c r="G243" s="81"/>
      <c r="AC243" s="81"/>
      <c r="AD243" s="81"/>
      <c r="AE243" s="81"/>
      <c r="AF243" s="81"/>
    </row>
    <row r="244" spans="2:32">
      <c r="B244" s="81"/>
      <c r="C244" s="81"/>
      <c r="D244" s="81"/>
      <c r="E244" s="81"/>
      <c r="F244" s="81"/>
      <c r="G244" s="81"/>
      <c r="AC244" s="81"/>
      <c r="AD244" s="81"/>
      <c r="AE244" s="81"/>
      <c r="AF244" s="81"/>
    </row>
    <row r="245" spans="2:32">
      <c r="B245" s="81"/>
      <c r="C245" s="81"/>
      <c r="D245" s="81"/>
      <c r="E245" s="81"/>
      <c r="F245" s="81"/>
      <c r="G245" s="81"/>
      <c r="AC245" s="81"/>
      <c r="AD245" s="81"/>
      <c r="AE245" s="81"/>
      <c r="AF245" s="81"/>
    </row>
    <row r="246" spans="2:32">
      <c r="B246" s="81"/>
      <c r="C246" s="81"/>
      <c r="D246" s="81"/>
      <c r="E246" s="81"/>
      <c r="F246" s="81"/>
      <c r="G246" s="81"/>
      <c r="AC246" s="81"/>
      <c r="AD246" s="81"/>
      <c r="AE246" s="81"/>
      <c r="AF246" s="81"/>
    </row>
    <row r="247" spans="2:32">
      <c r="B247" s="81"/>
      <c r="C247" s="81"/>
      <c r="D247" s="81"/>
      <c r="E247" s="81"/>
      <c r="F247" s="81"/>
      <c r="G247" s="81"/>
      <c r="AC247" s="81"/>
      <c r="AD247" s="81"/>
      <c r="AE247" s="81"/>
      <c r="AF247" s="81"/>
    </row>
    <row r="248" spans="2:32">
      <c r="B248" s="81"/>
      <c r="C248" s="81"/>
      <c r="D248" s="81"/>
      <c r="E248" s="81"/>
      <c r="F248" s="81"/>
      <c r="G248" s="81"/>
      <c r="AC248" s="81"/>
      <c r="AD248" s="81"/>
      <c r="AE248" s="81"/>
      <c r="AF248" s="81"/>
    </row>
    <row r="249" spans="2:32">
      <c r="B249" s="81"/>
      <c r="C249" s="81"/>
      <c r="D249" s="81"/>
      <c r="E249" s="81"/>
      <c r="F249" s="81"/>
      <c r="G249" s="81"/>
      <c r="AC249" s="81"/>
      <c r="AD249" s="81"/>
      <c r="AE249" s="81"/>
      <c r="AF249" s="81"/>
    </row>
    <row r="250" spans="2:32">
      <c r="B250" s="81"/>
      <c r="C250" s="81"/>
      <c r="D250" s="81"/>
      <c r="E250" s="81"/>
      <c r="F250" s="81"/>
      <c r="G250" s="81"/>
      <c r="AC250" s="81"/>
      <c r="AD250" s="81"/>
      <c r="AE250" s="81"/>
      <c r="AF250" s="81"/>
    </row>
    <row r="251" spans="2:32">
      <c r="B251" s="81"/>
      <c r="C251" s="81"/>
      <c r="D251" s="81"/>
      <c r="E251" s="81"/>
      <c r="F251" s="81"/>
      <c r="G251" s="81"/>
      <c r="AC251" s="81"/>
      <c r="AD251" s="81"/>
      <c r="AE251" s="81"/>
      <c r="AF251" s="81"/>
    </row>
    <row r="252" spans="2:32">
      <c r="B252" s="81"/>
      <c r="C252" s="81"/>
      <c r="D252" s="81"/>
      <c r="E252" s="81"/>
      <c r="F252" s="81"/>
      <c r="G252" s="81"/>
      <c r="AC252" s="81"/>
      <c r="AD252" s="81"/>
      <c r="AE252" s="81"/>
      <c r="AF252" s="81"/>
    </row>
    <row r="253" spans="2:32">
      <c r="B253" s="81"/>
      <c r="C253" s="81"/>
      <c r="D253" s="81"/>
      <c r="E253" s="81"/>
      <c r="F253" s="81"/>
      <c r="G253" s="81"/>
      <c r="AC253" s="81"/>
      <c r="AD253" s="81"/>
      <c r="AE253" s="81"/>
      <c r="AF253" s="81"/>
    </row>
    <row r="254" spans="2:32">
      <c r="B254" s="81"/>
      <c r="C254" s="81"/>
      <c r="D254" s="81"/>
      <c r="E254" s="81"/>
      <c r="F254" s="81"/>
      <c r="G254" s="81"/>
      <c r="AC254" s="81"/>
      <c r="AD254" s="81"/>
      <c r="AE254" s="81"/>
      <c r="AF254" s="81"/>
    </row>
    <row r="255" spans="2:32">
      <c r="B255" s="81"/>
      <c r="C255" s="81"/>
      <c r="D255" s="81"/>
      <c r="E255" s="81"/>
      <c r="F255" s="81"/>
      <c r="G255" s="81"/>
      <c r="AC255" s="81"/>
      <c r="AD255" s="81"/>
      <c r="AE255" s="81"/>
      <c r="AF255" s="81"/>
    </row>
    <row r="256" spans="2:32">
      <c r="B256" s="81"/>
      <c r="C256" s="81"/>
      <c r="D256" s="81"/>
      <c r="E256" s="81"/>
      <c r="F256" s="81"/>
      <c r="G256" s="81"/>
      <c r="AC256" s="81"/>
      <c r="AD256" s="81"/>
      <c r="AE256" s="81"/>
      <c r="AF256" s="81"/>
    </row>
    <row r="257" spans="2:32">
      <c r="B257" s="81"/>
      <c r="C257" s="81"/>
      <c r="D257" s="81"/>
      <c r="E257" s="81"/>
      <c r="F257" s="81"/>
      <c r="G257" s="81"/>
      <c r="AC257" s="81"/>
      <c r="AD257" s="81"/>
      <c r="AE257" s="81"/>
      <c r="AF257" s="81"/>
    </row>
    <row r="258" spans="2:32">
      <c r="B258" s="81"/>
      <c r="C258" s="81"/>
      <c r="D258" s="81"/>
      <c r="E258" s="81"/>
      <c r="F258" s="81"/>
      <c r="G258" s="81"/>
      <c r="AC258" s="81"/>
      <c r="AD258" s="81"/>
      <c r="AE258" s="81"/>
      <c r="AF258" s="81"/>
    </row>
    <row r="259" spans="2:32">
      <c r="B259" s="81"/>
      <c r="C259" s="81"/>
      <c r="D259" s="81"/>
      <c r="E259" s="81"/>
      <c r="F259" s="81"/>
      <c r="G259" s="81"/>
      <c r="AC259" s="81"/>
      <c r="AD259" s="81"/>
      <c r="AE259" s="81"/>
      <c r="AF259" s="81"/>
    </row>
    <row r="260" spans="2:32">
      <c r="B260" s="81"/>
      <c r="C260" s="81"/>
      <c r="D260" s="81"/>
      <c r="E260" s="81"/>
      <c r="F260" s="81"/>
      <c r="G260" s="81"/>
      <c r="AC260" s="81"/>
      <c r="AD260" s="81"/>
      <c r="AE260" s="81"/>
      <c r="AF260" s="81"/>
    </row>
    <row r="261" spans="2:32">
      <c r="B261" s="81"/>
      <c r="C261" s="81"/>
      <c r="D261" s="81"/>
      <c r="E261" s="81"/>
      <c r="F261" s="81"/>
      <c r="G261" s="81"/>
      <c r="AC261" s="81"/>
      <c r="AD261" s="81"/>
      <c r="AE261" s="81"/>
      <c r="AF261" s="81"/>
    </row>
    <row r="262" spans="2:32">
      <c r="B262" s="81"/>
      <c r="C262" s="81"/>
      <c r="D262" s="81"/>
      <c r="E262" s="81"/>
      <c r="F262" s="81"/>
      <c r="G262" s="81"/>
      <c r="AC262" s="81"/>
      <c r="AD262" s="81"/>
      <c r="AE262" s="81"/>
      <c r="AF262" s="81"/>
    </row>
    <row r="263" spans="2:32">
      <c r="B263" s="81"/>
      <c r="C263" s="81"/>
      <c r="D263" s="81"/>
      <c r="E263" s="81"/>
      <c r="F263" s="81"/>
      <c r="G263" s="81"/>
      <c r="AC263" s="81"/>
      <c r="AD263" s="81"/>
      <c r="AE263" s="81"/>
      <c r="AF263" s="81"/>
    </row>
    <row r="264" spans="2:32">
      <c r="B264" s="81"/>
      <c r="C264" s="81"/>
      <c r="D264" s="81"/>
      <c r="E264" s="81"/>
      <c r="F264" s="81"/>
      <c r="G264" s="81"/>
      <c r="AC264" s="81"/>
      <c r="AD264" s="81"/>
      <c r="AE264" s="81"/>
      <c r="AF264" s="81"/>
    </row>
    <row r="265" spans="2:32">
      <c r="B265" s="81"/>
      <c r="C265" s="81"/>
      <c r="D265" s="81"/>
      <c r="E265" s="81"/>
      <c r="F265" s="81"/>
      <c r="G265" s="81"/>
      <c r="AC265" s="81"/>
      <c r="AD265" s="81"/>
      <c r="AE265" s="81"/>
      <c r="AF265" s="81"/>
    </row>
    <row r="266" spans="2:32">
      <c r="B266" s="81"/>
      <c r="C266" s="81"/>
      <c r="D266" s="81"/>
      <c r="E266" s="81"/>
      <c r="F266" s="81"/>
      <c r="G266" s="81"/>
      <c r="AC266" s="81"/>
      <c r="AD266" s="81"/>
      <c r="AE266" s="81"/>
      <c r="AF266" s="81"/>
    </row>
    <row r="267" spans="2:32">
      <c r="B267" s="81"/>
      <c r="C267" s="81"/>
      <c r="D267" s="81"/>
      <c r="E267" s="81"/>
      <c r="F267" s="81"/>
      <c r="G267" s="81"/>
      <c r="AC267" s="81"/>
      <c r="AD267" s="81"/>
      <c r="AE267" s="81"/>
      <c r="AF267" s="81"/>
    </row>
    <row r="268" spans="2:32">
      <c r="B268" s="81"/>
      <c r="C268" s="81"/>
      <c r="D268" s="81"/>
      <c r="E268" s="81"/>
      <c r="F268" s="81"/>
      <c r="G268" s="81"/>
      <c r="AC268" s="81"/>
      <c r="AD268" s="81"/>
      <c r="AE268" s="81"/>
      <c r="AF268" s="81"/>
    </row>
    <row r="269" spans="2:32">
      <c r="B269" s="81"/>
      <c r="C269" s="81"/>
      <c r="D269" s="81"/>
      <c r="E269" s="81"/>
      <c r="F269" s="81"/>
      <c r="G269" s="81"/>
      <c r="AC269" s="81"/>
      <c r="AD269" s="81"/>
      <c r="AE269" s="81"/>
      <c r="AF269" s="81"/>
    </row>
    <row r="270" spans="2:32">
      <c r="B270" s="81"/>
      <c r="C270" s="81"/>
      <c r="D270" s="81"/>
      <c r="E270" s="81"/>
      <c r="F270" s="81"/>
      <c r="G270" s="81"/>
      <c r="AC270" s="81"/>
      <c r="AD270" s="81"/>
      <c r="AE270" s="81"/>
      <c r="AF270" s="81"/>
    </row>
    <row r="271" spans="2:32">
      <c r="B271" s="81"/>
      <c r="C271" s="81"/>
      <c r="D271" s="81"/>
      <c r="E271" s="81"/>
      <c r="F271" s="81"/>
      <c r="G271" s="81"/>
      <c r="AC271" s="81"/>
      <c r="AD271" s="81"/>
      <c r="AE271" s="81"/>
      <c r="AF271" s="81"/>
    </row>
    <row r="272" spans="2:32">
      <c r="B272" s="81"/>
      <c r="C272" s="81"/>
      <c r="D272" s="81"/>
      <c r="E272" s="81"/>
      <c r="F272" s="81"/>
      <c r="G272" s="81"/>
      <c r="AC272" s="81"/>
      <c r="AD272" s="81"/>
      <c r="AE272" s="81"/>
      <c r="AF272" s="81"/>
    </row>
    <row r="273" spans="2:32">
      <c r="B273" s="81"/>
      <c r="C273" s="81"/>
      <c r="D273" s="81"/>
      <c r="E273" s="81"/>
      <c r="F273" s="81"/>
      <c r="G273" s="81"/>
      <c r="AC273" s="81"/>
      <c r="AD273" s="81"/>
      <c r="AE273" s="81"/>
      <c r="AF273" s="81"/>
    </row>
    <row r="274" spans="2:32">
      <c r="B274" s="81"/>
      <c r="C274" s="81"/>
      <c r="D274" s="81"/>
      <c r="E274" s="81"/>
      <c r="F274" s="81"/>
      <c r="G274" s="81"/>
      <c r="AC274" s="81"/>
      <c r="AD274" s="81"/>
      <c r="AE274" s="81"/>
      <c r="AF274" s="81"/>
    </row>
    <row r="275" spans="2:32">
      <c r="B275" s="81"/>
      <c r="C275" s="81"/>
      <c r="D275" s="81"/>
      <c r="E275" s="81"/>
      <c r="F275" s="81"/>
      <c r="G275" s="81"/>
      <c r="AC275" s="81"/>
      <c r="AD275" s="81"/>
      <c r="AE275" s="81"/>
      <c r="AF275" s="81"/>
    </row>
    <row r="276" spans="2:32">
      <c r="B276" s="81"/>
      <c r="C276" s="81"/>
      <c r="D276" s="81"/>
      <c r="E276" s="81"/>
      <c r="F276" s="81"/>
      <c r="G276" s="81"/>
      <c r="AC276" s="81"/>
      <c r="AD276" s="81"/>
      <c r="AE276" s="81"/>
      <c r="AF276" s="81"/>
    </row>
    <row r="277" spans="2:32">
      <c r="B277" s="81"/>
      <c r="C277" s="81"/>
      <c r="D277" s="81"/>
      <c r="E277" s="81"/>
      <c r="F277" s="81"/>
      <c r="G277" s="81"/>
      <c r="AC277" s="81"/>
      <c r="AD277" s="81"/>
      <c r="AE277" s="81"/>
      <c r="AF277" s="81"/>
    </row>
    <row r="278" spans="2:32">
      <c r="B278" s="81"/>
      <c r="C278" s="81"/>
      <c r="D278" s="81"/>
      <c r="E278" s="81"/>
      <c r="F278" s="81"/>
      <c r="G278" s="81"/>
      <c r="AC278" s="81"/>
      <c r="AD278" s="81"/>
      <c r="AE278" s="81"/>
      <c r="AF278" s="81"/>
    </row>
    <row r="279" spans="2:32">
      <c r="B279" s="81"/>
      <c r="C279" s="81"/>
      <c r="D279" s="81"/>
      <c r="E279" s="81"/>
      <c r="F279" s="81"/>
      <c r="G279" s="81"/>
      <c r="AC279" s="81"/>
      <c r="AD279" s="81"/>
      <c r="AE279" s="81"/>
      <c r="AF279" s="81"/>
    </row>
    <row r="280" spans="2:32">
      <c r="B280" s="81"/>
      <c r="C280" s="81"/>
      <c r="D280" s="81"/>
      <c r="E280" s="81"/>
      <c r="F280" s="81"/>
      <c r="G280" s="81"/>
      <c r="AC280" s="81"/>
      <c r="AD280" s="81"/>
      <c r="AE280" s="81"/>
      <c r="AF280" s="81"/>
    </row>
    <row r="281" spans="2:32">
      <c r="B281" s="81"/>
      <c r="C281" s="81"/>
      <c r="D281" s="81"/>
      <c r="E281" s="81"/>
      <c r="F281" s="81"/>
      <c r="G281" s="81"/>
      <c r="AC281" s="81"/>
      <c r="AD281" s="81"/>
      <c r="AE281" s="81"/>
      <c r="AF281" s="81"/>
    </row>
    <row r="282" spans="2:32">
      <c r="B282" s="81"/>
      <c r="C282" s="81"/>
      <c r="D282" s="81"/>
      <c r="E282" s="81"/>
      <c r="F282" s="81"/>
      <c r="G282" s="81"/>
      <c r="AC282" s="81"/>
      <c r="AD282" s="81"/>
      <c r="AE282" s="81"/>
      <c r="AF282" s="81"/>
    </row>
    <row r="283" spans="2:32">
      <c r="B283" s="81"/>
      <c r="C283" s="81"/>
      <c r="D283" s="81"/>
      <c r="E283" s="81"/>
      <c r="F283" s="81"/>
      <c r="G283" s="81"/>
      <c r="AC283" s="81"/>
      <c r="AD283" s="81"/>
      <c r="AE283" s="81"/>
      <c r="AF283" s="81"/>
    </row>
    <row r="284" spans="2:32">
      <c r="B284" s="81"/>
      <c r="C284" s="81"/>
      <c r="D284" s="81"/>
      <c r="E284" s="81"/>
      <c r="F284" s="81"/>
      <c r="G284" s="81"/>
      <c r="AC284" s="81"/>
      <c r="AD284" s="81"/>
      <c r="AE284" s="81"/>
      <c r="AF284" s="81"/>
    </row>
    <row r="285" spans="2:32">
      <c r="B285" s="81"/>
      <c r="C285" s="81"/>
      <c r="D285" s="81"/>
      <c r="E285" s="81"/>
      <c r="F285" s="81"/>
      <c r="G285" s="81"/>
      <c r="AC285" s="81"/>
      <c r="AD285" s="81"/>
      <c r="AE285" s="81"/>
      <c r="AF285" s="81"/>
    </row>
    <row r="286" spans="2:32">
      <c r="B286" s="81"/>
      <c r="C286" s="81"/>
      <c r="D286" s="81"/>
      <c r="E286" s="81"/>
      <c r="F286" s="81"/>
      <c r="G286" s="81"/>
      <c r="AC286" s="81"/>
      <c r="AD286" s="81"/>
      <c r="AE286" s="81"/>
      <c r="AF286" s="81"/>
    </row>
    <row r="287" spans="2:32">
      <c r="B287" s="81"/>
      <c r="C287" s="81"/>
      <c r="D287" s="81"/>
      <c r="E287" s="81"/>
      <c r="F287" s="81"/>
      <c r="G287" s="81"/>
      <c r="AC287" s="81"/>
      <c r="AD287" s="81"/>
      <c r="AE287" s="81"/>
      <c r="AF287" s="81"/>
    </row>
    <row r="288" spans="2:32">
      <c r="B288" s="81"/>
      <c r="C288" s="81"/>
      <c r="D288" s="81"/>
      <c r="E288" s="81"/>
      <c r="F288" s="81"/>
      <c r="G288" s="81"/>
      <c r="AC288" s="81"/>
      <c r="AD288" s="81"/>
      <c r="AE288" s="81"/>
      <c r="AF288" s="81"/>
    </row>
    <row r="289" spans="2:32">
      <c r="B289" s="81"/>
      <c r="C289" s="81"/>
      <c r="D289" s="81"/>
      <c r="E289" s="81"/>
      <c r="F289" s="81"/>
      <c r="G289" s="81"/>
      <c r="AC289" s="81"/>
      <c r="AD289" s="81"/>
      <c r="AE289" s="81"/>
      <c r="AF289" s="81"/>
    </row>
    <row r="290" spans="2:32">
      <c r="B290" s="81"/>
      <c r="C290" s="81"/>
      <c r="D290" s="81"/>
      <c r="E290" s="81"/>
      <c r="F290" s="81"/>
      <c r="G290" s="81"/>
      <c r="AC290" s="81"/>
      <c r="AD290" s="81"/>
      <c r="AE290" s="81"/>
      <c r="AF290" s="81"/>
    </row>
    <row r="291" spans="2:32">
      <c r="B291" s="81"/>
      <c r="C291" s="81"/>
      <c r="D291" s="81"/>
      <c r="E291" s="81"/>
      <c r="F291" s="81"/>
      <c r="G291" s="81"/>
      <c r="AC291" s="81"/>
      <c r="AD291" s="81"/>
      <c r="AE291" s="81"/>
      <c r="AF291" s="81"/>
    </row>
    <row r="292" spans="2:32">
      <c r="B292" s="81"/>
      <c r="C292" s="81"/>
      <c r="D292" s="81"/>
      <c r="E292" s="81"/>
      <c r="F292" s="81"/>
      <c r="G292" s="81"/>
      <c r="AC292" s="81"/>
      <c r="AD292" s="81"/>
      <c r="AE292" s="81"/>
      <c r="AF292" s="81"/>
    </row>
    <row r="293" spans="2:32">
      <c r="B293" s="81"/>
      <c r="C293" s="81"/>
      <c r="D293" s="81"/>
      <c r="E293" s="81"/>
      <c r="F293" s="81"/>
      <c r="G293" s="81"/>
      <c r="AC293" s="81"/>
      <c r="AD293" s="81"/>
      <c r="AE293" s="81"/>
      <c r="AF293" s="81"/>
    </row>
    <row r="294" spans="2:32">
      <c r="B294" s="81"/>
      <c r="C294" s="81"/>
      <c r="D294" s="81"/>
      <c r="E294" s="81"/>
      <c r="F294" s="81"/>
      <c r="G294" s="81"/>
      <c r="AC294" s="81"/>
      <c r="AD294" s="81"/>
      <c r="AE294" s="81"/>
      <c r="AF294" s="81"/>
    </row>
    <row r="295" spans="2:32">
      <c r="B295" s="81"/>
      <c r="C295" s="81"/>
      <c r="D295" s="81"/>
      <c r="E295" s="81"/>
      <c r="F295" s="81"/>
      <c r="G295" s="81"/>
      <c r="AC295" s="81"/>
      <c r="AD295" s="81"/>
      <c r="AE295" s="81"/>
      <c r="AF295" s="81"/>
    </row>
    <row r="296" spans="2:32">
      <c r="B296" s="81"/>
      <c r="C296" s="81"/>
      <c r="D296" s="81"/>
      <c r="E296" s="81"/>
      <c r="F296" s="81"/>
      <c r="G296" s="81"/>
      <c r="AC296" s="81"/>
      <c r="AD296" s="81"/>
      <c r="AE296" s="81"/>
      <c r="AF296" s="81"/>
    </row>
    <row r="297" spans="2:32">
      <c r="B297" s="81"/>
      <c r="C297" s="81"/>
      <c r="D297" s="81"/>
      <c r="E297" s="81"/>
      <c r="F297" s="81"/>
      <c r="G297" s="81"/>
      <c r="AC297" s="81"/>
      <c r="AD297" s="81"/>
      <c r="AE297" s="81"/>
      <c r="AF297" s="81"/>
    </row>
    <row r="298" spans="2:32">
      <c r="B298" s="81"/>
      <c r="C298" s="81"/>
      <c r="D298" s="81"/>
      <c r="E298" s="81"/>
      <c r="F298" s="81"/>
      <c r="G298" s="81"/>
      <c r="AC298" s="81"/>
      <c r="AD298" s="81"/>
      <c r="AE298" s="81"/>
      <c r="AF298" s="81"/>
    </row>
    <row r="299" spans="2:32">
      <c r="B299" s="81"/>
      <c r="C299" s="81"/>
      <c r="D299" s="81"/>
      <c r="E299" s="81"/>
      <c r="F299" s="81"/>
      <c r="G299" s="81"/>
      <c r="AC299" s="81"/>
      <c r="AD299" s="81"/>
      <c r="AE299" s="81"/>
      <c r="AF299" s="81"/>
    </row>
    <row r="300" spans="2:32">
      <c r="B300" s="81"/>
      <c r="C300" s="81"/>
      <c r="D300" s="81"/>
      <c r="E300" s="81"/>
      <c r="F300" s="81"/>
      <c r="G300" s="81"/>
      <c r="AC300" s="81"/>
      <c r="AD300" s="81"/>
      <c r="AE300" s="81"/>
      <c r="AF300" s="81"/>
    </row>
    <row r="301" spans="2:32">
      <c r="B301" s="81"/>
      <c r="C301" s="81"/>
      <c r="D301" s="81"/>
      <c r="E301" s="81"/>
      <c r="F301" s="81"/>
      <c r="G301" s="81"/>
      <c r="AC301" s="81"/>
      <c r="AD301" s="81"/>
      <c r="AE301" s="81"/>
      <c r="AF301" s="81"/>
    </row>
    <row r="302" spans="2:32">
      <c r="B302" s="81"/>
      <c r="C302" s="81"/>
      <c r="D302" s="81"/>
      <c r="E302" s="81"/>
      <c r="F302" s="81"/>
      <c r="G302" s="81"/>
      <c r="AC302" s="81"/>
      <c r="AD302" s="81"/>
      <c r="AE302" s="81"/>
      <c r="AF302" s="81"/>
    </row>
    <row r="303" spans="2:32">
      <c r="B303" s="81"/>
      <c r="C303" s="81"/>
      <c r="D303" s="81"/>
      <c r="E303" s="81"/>
      <c r="F303" s="81"/>
      <c r="G303" s="81"/>
      <c r="AC303" s="81"/>
      <c r="AD303" s="81"/>
      <c r="AE303" s="81"/>
      <c r="AF303" s="81"/>
    </row>
    <row r="304" spans="2:32">
      <c r="B304" s="81"/>
      <c r="C304" s="81"/>
      <c r="D304" s="81"/>
      <c r="E304" s="81"/>
      <c r="F304" s="81"/>
      <c r="G304" s="81"/>
      <c r="AC304" s="81"/>
      <c r="AD304" s="81"/>
      <c r="AE304" s="81"/>
      <c r="AF304" s="81"/>
    </row>
    <row r="305" spans="2:32">
      <c r="B305" s="81"/>
      <c r="C305" s="81"/>
      <c r="D305" s="81"/>
      <c r="E305" s="81"/>
      <c r="F305" s="81"/>
      <c r="G305" s="81"/>
      <c r="AC305" s="81"/>
      <c r="AD305" s="81"/>
      <c r="AE305" s="81"/>
      <c r="AF305" s="81"/>
    </row>
    <row r="306" spans="2:32">
      <c r="B306" s="81"/>
      <c r="C306" s="81"/>
      <c r="D306" s="81"/>
      <c r="E306" s="81"/>
      <c r="F306" s="81"/>
      <c r="G306" s="81"/>
      <c r="AC306" s="81"/>
      <c r="AD306" s="81"/>
      <c r="AE306" s="81"/>
      <c r="AF306" s="81"/>
    </row>
    <row r="307" spans="2:32">
      <c r="B307" s="81"/>
      <c r="C307" s="81"/>
      <c r="D307" s="81"/>
      <c r="E307" s="81"/>
      <c r="F307" s="81"/>
      <c r="G307" s="81"/>
      <c r="AC307" s="81"/>
      <c r="AD307" s="81"/>
      <c r="AE307" s="81"/>
      <c r="AF307" s="81"/>
    </row>
    <row r="308" spans="2:32">
      <c r="B308" s="81"/>
      <c r="C308" s="81"/>
      <c r="D308" s="81"/>
      <c r="E308" s="81"/>
      <c r="F308" s="81"/>
      <c r="G308" s="81"/>
      <c r="AC308" s="81"/>
      <c r="AD308" s="81"/>
      <c r="AE308" s="81"/>
      <c r="AF308" s="81"/>
    </row>
    <row r="309" spans="2:32">
      <c r="B309" s="81"/>
      <c r="C309" s="81"/>
      <c r="D309" s="81"/>
      <c r="E309" s="81"/>
      <c r="F309" s="81"/>
      <c r="G309" s="81"/>
      <c r="AC309" s="81"/>
      <c r="AD309" s="81"/>
      <c r="AE309" s="81"/>
      <c r="AF309" s="81"/>
    </row>
    <row r="310" spans="2:32">
      <c r="B310" s="81"/>
      <c r="C310" s="81"/>
      <c r="D310" s="81"/>
      <c r="E310" s="81"/>
      <c r="F310" s="81"/>
      <c r="G310" s="81"/>
      <c r="AC310" s="81"/>
      <c r="AD310" s="81"/>
      <c r="AE310" s="81"/>
      <c r="AF310" s="81"/>
    </row>
    <row r="311" spans="2:32">
      <c r="B311" s="81"/>
      <c r="C311" s="81"/>
      <c r="D311" s="81"/>
      <c r="E311" s="81"/>
      <c r="F311" s="81"/>
      <c r="G311" s="81"/>
      <c r="AC311" s="81"/>
      <c r="AD311" s="81"/>
      <c r="AE311" s="81"/>
      <c r="AF311" s="81"/>
    </row>
    <row r="312" spans="2:32">
      <c r="B312" s="81"/>
      <c r="C312" s="81"/>
      <c r="D312" s="81"/>
      <c r="E312" s="81"/>
      <c r="F312" s="81"/>
      <c r="G312" s="81"/>
      <c r="AC312" s="81"/>
      <c r="AD312" s="81"/>
      <c r="AE312" s="81"/>
      <c r="AF312" s="81"/>
    </row>
    <row r="313" spans="2:32">
      <c r="B313" s="81"/>
      <c r="C313" s="81"/>
      <c r="D313" s="81"/>
      <c r="E313" s="81"/>
      <c r="F313" s="81"/>
      <c r="G313" s="81"/>
      <c r="AC313" s="81"/>
      <c r="AD313" s="81"/>
      <c r="AE313" s="81"/>
      <c r="AF313" s="81"/>
    </row>
    <row r="314" spans="2:32">
      <c r="B314" s="81"/>
      <c r="C314" s="81"/>
      <c r="D314" s="81"/>
      <c r="E314" s="81"/>
      <c r="F314" s="81"/>
      <c r="G314" s="81"/>
      <c r="AC314" s="81"/>
      <c r="AD314" s="81"/>
      <c r="AE314" s="81"/>
      <c r="AF314" s="81"/>
    </row>
    <row r="315" spans="2:32">
      <c r="B315" s="81"/>
      <c r="C315" s="81"/>
      <c r="D315" s="81"/>
      <c r="E315" s="81"/>
      <c r="F315" s="81"/>
      <c r="G315" s="81"/>
      <c r="AC315" s="81"/>
      <c r="AD315" s="81"/>
      <c r="AE315" s="81"/>
      <c r="AF315" s="81"/>
    </row>
    <row r="316" spans="2:32">
      <c r="B316" s="81"/>
      <c r="C316" s="81"/>
      <c r="D316" s="81"/>
      <c r="E316" s="81"/>
      <c r="F316" s="81"/>
      <c r="G316" s="81"/>
      <c r="AC316" s="81"/>
      <c r="AD316" s="81"/>
      <c r="AE316" s="81"/>
      <c r="AF316" s="81"/>
    </row>
    <row r="317" spans="2:32">
      <c r="B317" s="81"/>
      <c r="C317" s="81"/>
      <c r="D317" s="81"/>
      <c r="E317" s="81"/>
      <c r="F317" s="81"/>
      <c r="G317" s="81"/>
      <c r="AC317" s="81"/>
      <c r="AD317" s="81"/>
      <c r="AE317" s="81"/>
      <c r="AF317" s="81"/>
    </row>
    <row r="318" spans="2:32">
      <c r="B318" s="81"/>
      <c r="C318" s="81"/>
      <c r="D318" s="81"/>
      <c r="E318" s="81"/>
      <c r="F318" s="81"/>
      <c r="G318" s="81"/>
      <c r="AC318" s="81"/>
      <c r="AD318" s="81"/>
      <c r="AE318" s="81"/>
      <c r="AF318" s="81"/>
    </row>
    <row r="319" spans="2:32">
      <c r="B319" s="81"/>
      <c r="C319" s="81"/>
      <c r="D319" s="81"/>
      <c r="E319" s="81"/>
      <c r="F319" s="81"/>
      <c r="G319" s="81"/>
      <c r="AC319" s="81"/>
      <c r="AD319" s="81"/>
      <c r="AE319" s="81"/>
      <c r="AF319" s="81"/>
    </row>
    <row r="320" spans="2:32">
      <c r="B320" s="81"/>
      <c r="C320" s="81"/>
      <c r="D320" s="81"/>
      <c r="E320" s="81"/>
      <c r="F320" s="81"/>
      <c r="G320" s="81"/>
      <c r="AC320" s="81"/>
      <c r="AD320" s="81"/>
      <c r="AE320" s="81"/>
      <c r="AF320" s="81"/>
    </row>
    <row r="321" spans="2:32">
      <c r="B321" s="81"/>
      <c r="C321" s="81"/>
      <c r="D321" s="81"/>
      <c r="E321" s="81"/>
      <c r="F321" s="81"/>
      <c r="G321" s="81"/>
      <c r="AC321" s="81"/>
      <c r="AD321" s="81"/>
      <c r="AE321" s="81"/>
      <c r="AF321" s="81"/>
    </row>
    <row r="322" spans="2:32">
      <c r="B322" s="81"/>
      <c r="C322" s="81"/>
      <c r="D322" s="81"/>
      <c r="E322" s="81"/>
      <c r="F322" s="81"/>
      <c r="G322" s="81"/>
      <c r="AC322" s="81"/>
      <c r="AD322" s="81"/>
      <c r="AE322" s="81"/>
      <c r="AF322" s="81"/>
    </row>
    <row r="323" spans="2:32">
      <c r="B323" s="81"/>
      <c r="C323" s="81"/>
      <c r="D323" s="81"/>
      <c r="E323" s="81"/>
      <c r="F323" s="81"/>
      <c r="G323" s="81"/>
      <c r="AC323" s="81"/>
      <c r="AD323" s="81"/>
      <c r="AE323" s="81"/>
      <c r="AF323" s="81"/>
    </row>
    <row r="324" spans="2:32">
      <c r="B324" s="81"/>
      <c r="C324" s="81"/>
      <c r="D324" s="81"/>
      <c r="E324" s="81"/>
      <c r="F324" s="81"/>
      <c r="G324" s="81"/>
      <c r="AC324" s="81"/>
      <c r="AD324" s="81"/>
      <c r="AE324" s="81"/>
      <c r="AF324" s="81"/>
    </row>
    <row r="325" spans="2:32">
      <c r="B325" s="81"/>
      <c r="C325" s="81"/>
      <c r="D325" s="81"/>
      <c r="E325" s="81"/>
      <c r="F325" s="81"/>
      <c r="G325" s="81"/>
      <c r="AC325" s="81"/>
      <c r="AD325" s="81"/>
      <c r="AE325" s="81"/>
      <c r="AF325" s="81"/>
    </row>
    <row r="326" spans="2:32">
      <c r="B326" s="81"/>
      <c r="C326" s="81"/>
      <c r="D326" s="81"/>
      <c r="E326" s="81"/>
      <c r="F326" s="81"/>
      <c r="G326" s="81"/>
      <c r="AC326" s="81"/>
      <c r="AD326" s="81"/>
      <c r="AE326" s="81"/>
      <c r="AF326" s="81"/>
    </row>
    <row r="327" spans="2:32">
      <c r="B327" s="81"/>
      <c r="C327" s="81"/>
      <c r="D327" s="81"/>
      <c r="E327" s="81"/>
      <c r="F327" s="81"/>
      <c r="G327" s="81"/>
      <c r="AC327" s="81"/>
      <c r="AD327" s="81"/>
      <c r="AE327" s="81"/>
      <c r="AF327" s="81"/>
    </row>
    <row r="328" spans="2:32">
      <c r="B328" s="81"/>
      <c r="C328" s="81"/>
      <c r="D328" s="81"/>
      <c r="E328" s="81"/>
      <c r="F328" s="81"/>
      <c r="G328" s="81"/>
      <c r="AC328" s="81"/>
      <c r="AD328" s="81"/>
      <c r="AE328" s="81"/>
      <c r="AF328" s="81"/>
    </row>
    <row r="329" spans="2:32">
      <c r="B329" s="81"/>
      <c r="C329" s="81"/>
      <c r="D329" s="81"/>
      <c r="E329" s="81"/>
      <c r="F329" s="81"/>
      <c r="G329" s="81"/>
      <c r="AC329" s="81"/>
      <c r="AD329" s="81"/>
      <c r="AE329" s="81"/>
      <c r="AF329" s="81"/>
    </row>
    <row r="330" spans="2:32">
      <c r="B330" s="81"/>
      <c r="C330" s="81"/>
      <c r="D330" s="81"/>
      <c r="E330" s="81"/>
      <c r="F330" s="81"/>
      <c r="G330" s="81"/>
      <c r="AC330" s="81"/>
      <c r="AD330" s="81"/>
      <c r="AE330" s="81"/>
      <c r="AF330" s="81"/>
    </row>
    <row r="331" spans="2:32">
      <c r="B331" s="81"/>
      <c r="C331" s="81"/>
      <c r="D331" s="81"/>
      <c r="E331" s="81"/>
      <c r="F331" s="81"/>
      <c r="G331" s="81"/>
      <c r="AC331" s="81"/>
      <c r="AD331" s="81"/>
      <c r="AE331" s="81"/>
      <c r="AF331" s="81"/>
    </row>
    <row r="332" spans="2:32">
      <c r="B332" s="81"/>
      <c r="C332" s="81"/>
      <c r="D332" s="81"/>
      <c r="E332" s="81"/>
      <c r="F332" s="81"/>
      <c r="G332" s="81"/>
      <c r="AC332" s="81"/>
      <c r="AD332" s="81"/>
      <c r="AE332" s="81"/>
      <c r="AF332" s="81"/>
    </row>
    <row r="333" spans="2:32">
      <c r="B333" s="81"/>
      <c r="C333" s="81"/>
      <c r="D333" s="81"/>
      <c r="E333" s="81"/>
      <c r="F333" s="81"/>
      <c r="G333" s="81"/>
      <c r="AC333" s="81"/>
      <c r="AD333" s="81"/>
      <c r="AE333" s="81"/>
      <c r="AF333" s="81"/>
    </row>
    <row r="334" spans="2:32">
      <c r="B334" s="81"/>
      <c r="C334" s="81"/>
      <c r="D334" s="81"/>
      <c r="E334" s="81"/>
      <c r="F334" s="81"/>
      <c r="G334" s="81"/>
      <c r="AC334" s="81"/>
      <c r="AD334" s="81"/>
      <c r="AE334" s="81"/>
      <c r="AF334" s="81"/>
    </row>
    <row r="335" spans="2:32">
      <c r="B335" s="81"/>
      <c r="C335" s="81"/>
      <c r="D335" s="81"/>
      <c r="E335" s="81"/>
      <c r="F335" s="81"/>
      <c r="G335" s="81"/>
      <c r="AC335" s="81"/>
      <c r="AD335" s="81"/>
      <c r="AE335" s="81"/>
      <c r="AF335" s="81"/>
    </row>
    <row r="336" spans="2:32">
      <c r="B336" s="81"/>
      <c r="C336" s="81"/>
      <c r="D336" s="81"/>
      <c r="E336" s="81"/>
      <c r="F336" s="81"/>
      <c r="G336" s="81"/>
      <c r="AC336" s="81"/>
      <c r="AD336" s="81"/>
      <c r="AE336" s="81"/>
      <c r="AF336" s="81"/>
    </row>
    <row r="337" spans="2:32">
      <c r="B337" s="81"/>
      <c r="C337" s="81"/>
      <c r="D337" s="81"/>
      <c r="E337" s="81"/>
      <c r="F337" s="81"/>
      <c r="G337" s="81"/>
      <c r="AC337" s="81"/>
      <c r="AD337" s="81"/>
      <c r="AE337" s="81"/>
      <c r="AF337" s="81"/>
    </row>
    <row r="338" spans="2:32">
      <c r="B338" s="81"/>
      <c r="C338" s="81"/>
      <c r="D338" s="81"/>
      <c r="E338" s="81"/>
      <c r="F338" s="81"/>
      <c r="G338" s="81"/>
      <c r="AC338" s="81"/>
      <c r="AD338" s="81"/>
      <c r="AE338" s="81"/>
      <c r="AF338" s="81"/>
    </row>
    <row r="339" spans="2:32">
      <c r="B339" s="81"/>
      <c r="C339" s="81"/>
      <c r="D339" s="81"/>
      <c r="E339" s="81"/>
      <c r="F339" s="81"/>
      <c r="G339" s="81"/>
      <c r="AC339" s="81"/>
      <c r="AD339" s="81"/>
      <c r="AE339" s="81"/>
      <c r="AF339" s="81"/>
    </row>
    <row r="340" spans="2:32">
      <c r="B340" s="81"/>
      <c r="C340" s="81"/>
      <c r="D340" s="81"/>
      <c r="E340" s="81"/>
      <c r="F340" s="81"/>
      <c r="G340" s="81"/>
      <c r="AC340" s="81"/>
      <c r="AD340" s="81"/>
      <c r="AE340" s="81"/>
      <c r="AF340" s="81"/>
    </row>
    <row r="341" spans="2:32">
      <c r="B341" s="81"/>
      <c r="C341" s="81"/>
      <c r="D341" s="81"/>
      <c r="E341" s="81"/>
      <c r="F341" s="81"/>
      <c r="G341" s="81"/>
      <c r="AC341" s="81"/>
      <c r="AD341" s="81"/>
      <c r="AE341" s="81"/>
      <c r="AF341" s="81"/>
    </row>
    <row r="342" spans="2:32">
      <c r="B342" s="81"/>
      <c r="C342" s="81"/>
      <c r="D342" s="81"/>
      <c r="E342" s="81"/>
      <c r="F342" s="81"/>
      <c r="G342" s="81"/>
      <c r="AC342" s="81"/>
      <c r="AD342" s="81"/>
      <c r="AE342" s="81"/>
      <c r="AF342" s="81"/>
    </row>
    <row r="343" spans="2:32">
      <c r="B343" s="81"/>
      <c r="C343" s="81"/>
      <c r="D343" s="81"/>
      <c r="E343" s="81"/>
      <c r="F343" s="81"/>
      <c r="G343" s="81"/>
      <c r="AC343" s="81"/>
      <c r="AD343" s="81"/>
      <c r="AE343" s="81"/>
      <c r="AF343" s="81"/>
    </row>
    <row r="344" spans="2:32">
      <c r="B344" s="81"/>
      <c r="C344" s="81"/>
      <c r="D344" s="81"/>
      <c r="E344" s="81"/>
      <c r="F344" s="81"/>
      <c r="G344" s="81"/>
      <c r="AC344" s="81"/>
      <c r="AD344" s="81"/>
      <c r="AE344" s="81"/>
      <c r="AF344" s="81"/>
    </row>
    <row r="345" spans="2:32">
      <c r="B345" s="81"/>
      <c r="C345" s="81"/>
      <c r="D345" s="81"/>
      <c r="E345" s="81"/>
      <c r="F345" s="81"/>
      <c r="G345" s="81"/>
      <c r="AC345" s="81"/>
      <c r="AD345" s="81"/>
      <c r="AE345" s="81"/>
      <c r="AF345" s="81"/>
    </row>
    <row r="346" spans="2:32">
      <c r="B346" s="81"/>
      <c r="C346" s="81"/>
      <c r="D346" s="81"/>
      <c r="E346" s="81"/>
      <c r="F346" s="81"/>
      <c r="G346" s="81"/>
      <c r="AC346" s="81"/>
      <c r="AD346" s="81"/>
      <c r="AE346" s="81"/>
      <c r="AF346" s="81"/>
    </row>
    <row r="347" spans="2:32">
      <c r="B347" s="81"/>
      <c r="C347" s="81"/>
      <c r="D347" s="81"/>
      <c r="E347" s="81"/>
      <c r="F347" s="81"/>
      <c r="G347" s="81"/>
      <c r="AC347" s="81"/>
      <c r="AD347" s="81"/>
      <c r="AE347" s="81"/>
      <c r="AF347" s="81"/>
    </row>
    <row r="348" spans="2:32">
      <c r="B348" s="81"/>
      <c r="C348" s="81"/>
      <c r="D348" s="81"/>
      <c r="E348" s="81"/>
      <c r="F348" s="81"/>
      <c r="G348" s="81"/>
      <c r="AC348" s="81"/>
      <c r="AD348" s="81"/>
      <c r="AE348" s="81"/>
      <c r="AF348" s="81"/>
    </row>
    <row r="349" spans="2:32">
      <c r="B349" s="81"/>
      <c r="C349" s="81"/>
      <c r="D349" s="81"/>
      <c r="E349" s="81"/>
      <c r="F349" s="81"/>
      <c r="G349" s="81"/>
      <c r="AC349" s="81"/>
      <c r="AD349" s="81"/>
      <c r="AE349" s="81"/>
      <c r="AF349" s="81"/>
    </row>
    <row r="350" spans="2:32">
      <c r="B350" s="81"/>
      <c r="C350" s="81"/>
      <c r="D350" s="81"/>
      <c r="E350" s="81"/>
      <c r="F350" s="81"/>
      <c r="G350" s="81"/>
      <c r="AC350" s="81"/>
      <c r="AD350" s="81"/>
      <c r="AE350" s="81"/>
      <c r="AF350" s="81"/>
    </row>
    <row r="351" spans="2:32">
      <c r="B351" s="81"/>
      <c r="C351" s="81"/>
      <c r="D351" s="81"/>
      <c r="E351" s="81"/>
      <c r="F351" s="81"/>
      <c r="G351" s="81"/>
      <c r="AC351" s="81"/>
      <c r="AD351" s="81"/>
      <c r="AE351" s="81"/>
      <c r="AF351" s="81"/>
    </row>
    <row r="352" spans="2:32">
      <c r="B352" s="81"/>
      <c r="C352" s="81"/>
      <c r="D352" s="81"/>
      <c r="E352" s="81"/>
      <c r="F352" s="81"/>
      <c r="G352" s="81"/>
      <c r="AC352" s="81"/>
      <c r="AD352" s="81"/>
      <c r="AE352" s="81"/>
      <c r="AF352" s="81"/>
    </row>
    <row r="353" spans="2:32">
      <c r="B353" s="81"/>
      <c r="C353" s="81"/>
      <c r="D353" s="81"/>
      <c r="E353" s="81"/>
      <c r="F353" s="81"/>
      <c r="G353" s="81"/>
      <c r="AC353" s="81"/>
      <c r="AD353" s="81"/>
      <c r="AE353" s="81"/>
      <c r="AF353" s="81"/>
    </row>
    <row r="354" spans="2:32">
      <c r="B354" s="81"/>
      <c r="C354" s="81"/>
      <c r="D354" s="81"/>
      <c r="E354" s="81"/>
      <c r="F354" s="81"/>
      <c r="G354" s="81"/>
      <c r="AC354" s="81"/>
      <c r="AD354" s="81"/>
      <c r="AE354" s="81"/>
      <c r="AF354" s="81"/>
    </row>
    <row r="355" spans="2:32">
      <c r="B355" s="81"/>
      <c r="C355" s="81"/>
      <c r="D355" s="81"/>
      <c r="E355" s="81"/>
      <c r="F355" s="81"/>
      <c r="G355" s="81"/>
      <c r="AC355" s="81"/>
      <c r="AD355" s="81"/>
      <c r="AE355" s="81"/>
      <c r="AF355" s="81"/>
    </row>
    <row r="356" spans="2:32">
      <c r="B356" s="81"/>
      <c r="C356" s="81"/>
      <c r="D356" s="81"/>
      <c r="E356" s="81"/>
      <c r="F356" s="81"/>
      <c r="G356" s="81"/>
      <c r="AC356" s="81"/>
      <c r="AD356" s="81"/>
      <c r="AE356" s="81"/>
      <c r="AF356" s="81"/>
    </row>
    <row r="357" spans="2:32">
      <c r="B357" s="81"/>
      <c r="C357" s="81"/>
      <c r="D357" s="81"/>
      <c r="E357" s="81"/>
      <c r="F357" s="81"/>
      <c r="G357" s="81"/>
      <c r="AC357" s="81"/>
      <c r="AD357" s="81"/>
      <c r="AE357" s="81"/>
      <c r="AF357" s="8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t_code.Ext_code">
                <anchor moveWithCells="1" sizeWithCells="1">
                  <from>
                    <xdr:col>5</xdr:col>
                    <xdr:colOff>19050</xdr:colOff>
                    <xdr:row>0</xdr:row>
                    <xdr:rowOff>38100</xdr:rowOff>
                  </from>
                  <to>
                    <xdr:col>6</xdr:col>
                    <xdr:colOff>971550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37D55D-18E0-42BB-AA46-693DD1AAD9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Spec</vt:lpstr>
      <vt:lpstr>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Dang Anh Tuan</dc:creator>
  <cp:lastModifiedBy>Pham Van Dan</cp:lastModifiedBy>
  <cp:lastPrinted>2026-05-31T06:36:09Z</cp:lastPrinted>
  <dcterms:created xsi:type="dcterms:W3CDTF">2026-05-31T04:10:36Z</dcterms:created>
  <dcterms:modified xsi:type="dcterms:W3CDTF">2026-06-03T03:51:58Z</dcterms:modified>
</cp:coreProperties>
</file>